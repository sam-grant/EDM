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1_{2253AD45-5EAE-E443-801F-13FAA6C86D77}" xr6:coauthVersionLast="47" xr6:coauthVersionMax="47" xr10:uidLastSave="{00000000-0000-0000-0000-000000000000}"/>
  <bookViews>
    <workbookView xWindow="780" yWindow="1000" windowWidth="27640" windowHeight="16440" xr2:uid="{3AF69B1F-3FB3-C148-BE20-89A1E9C9B6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3" i="1" l="1"/>
  <c r="E23" i="1" s="1"/>
  <c r="D22" i="1"/>
  <c r="E22" i="1" s="1"/>
  <c r="D21" i="1"/>
  <c r="E21" i="1" s="1"/>
  <c r="D20" i="1"/>
  <c r="E20" i="1" s="1"/>
  <c r="D16" i="1"/>
  <c r="E16" i="1" s="1"/>
  <c r="D15" i="1"/>
  <c r="E15" i="1" s="1"/>
  <c r="D14" i="1"/>
  <c r="E14" i="1" s="1"/>
  <c r="D13" i="1"/>
  <c r="E13" i="1" s="1"/>
  <c r="D9" i="1"/>
  <c r="E9" i="1" s="1"/>
  <c r="D8" i="1"/>
  <c r="E8" i="1" s="1"/>
  <c r="D7" i="1"/>
  <c r="E7" i="1" s="1"/>
  <c r="D6" i="1"/>
  <c r="E6" i="1" s="1"/>
</calcChain>
</file>

<file path=xl/sharedStrings.xml><?xml version="1.0" encoding="utf-8"?>
<sst xmlns="http://schemas.openxmlformats.org/spreadsheetml/2006/main" count="37" uniqueCount="13">
  <si>
    <t>d_EDM (S12S18)</t>
  </si>
  <si>
    <t>S12S18</t>
  </si>
  <si>
    <t>A_EDM [mrad]</t>
  </si>
  <si>
    <t>Dataset</t>
  </si>
  <si>
    <t>Value</t>
  </si>
  <si>
    <t>Error</t>
  </si>
  <si>
    <t>Run-1a</t>
  </si>
  <si>
    <t>Run-1b</t>
  </si>
  <si>
    <t>Run-1c</t>
  </si>
  <si>
    <t>Run-1d</t>
  </si>
  <si>
    <t>S12</t>
  </si>
  <si>
    <t>S18</t>
  </si>
  <si>
    <t>delta lab [mrad]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</si>
</sst>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B2053-2FCF-9C44-AC44-AB42F05B8673}">
  <dimension ref="A1:I23"/>
  <sheetViews>
    <sheetView tabSelected="1" workbookViewId="0">
      <selection activeCell="G16" sqref="G16"/>
    </sheetView>
  </sheetViews>
  <sheetFormatPr baseColWidth="10" defaultRowHeight="16" x14ac:dyDescent="0.2"/>
  <cols>
    <col min="1" max="1" width="7.5" bestFit="1" customWidth="1"/>
    <col min="2" max="5" width="7.6640625" bestFit="1" customWidth="1"/>
  </cols>
  <sheetData>
    <row r="1" spans="1:9" x14ac:dyDescent="0.2">
      <c r="A1" t="s">
        <v>0</v>
      </c>
    </row>
    <row r="2" spans="1:9" x14ac:dyDescent="0.2">
      <c r="A2">
        <v>7.4999999999999997E-2</v>
      </c>
      <c r="B2">
        <v>4.0000000000000001E-3</v>
      </c>
    </row>
    <row r="4" spans="1:9" x14ac:dyDescent="0.2">
      <c r="A4" t="s">
        <v>1</v>
      </c>
      <c r="B4" s="1" t="s">
        <v>2</v>
      </c>
      <c r="C4" s="1"/>
      <c r="D4" s="1" t="s">
        <v>12</v>
      </c>
      <c r="E4" s="1"/>
      <c r="F4" s="1"/>
      <c r="G4" s="1"/>
      <c r="H4" s="1"/>
      <c r="I4" s="1"/>
    </row>
    <row r="5" spans="1:9" x14ac:dyDescent="0.2">
      <c r="A5" t="s">
        <v>3</v>
      </c>
      <c r="B5" t="s">
        <v>4</v>
      </c>
      <c r="C5" t="s">
        <v>5</v>
      </c>
      <c r="D5" t="s">
        <v>4</v>
      </c>
      <c r="E5" t="s">
        <v>5</v>
      </c>
    </row>
    <row r="6" spans="1:9" x14ac:dyDescent="0.2">
      <c r="A6" t="s">
        <v>6</v>
      </c>
      <c r="B6" s="2">
        <v>3.1275900000000002E-2</v>
      </c>
      <c r="C6" s="2">
        <v>6.3664400000000001E-3</v>
      </c>
      <c r="D6" s="2">
        <f>B6/$A$2</f>
        <v>0.41701200000000005</v>
      </c>
      <c r="E6" s="2">
        <f>D6*SQRT((C6/B6)^2+($B$2/$A$2)^2)</f>
        <v>8.7751104992249029E-2</v>
      </c>
      <c r="F6" s="3"/>
      <c r="G6" s="3"/>
    </row>
    <row r="7" spans="1:9" x14ac:dyDescent="0.2">
      <c r="A7" t="s">
        <v>7</v>
      </c>
      <c r="B7" s="2">
        <v>2.8006300000000001E-2</v>
      </c>
      <c r="C7" s="2">
        <v>5.4395199999999998E-3</v>
      </c>
      <c r="D7" s="2">
        <f t="shared" ref="D7:D9" si="0">B7/$A$2</f>
        <v>0.37341733333333338</v>
      </c>
      <c r="E7" s="2">
        <f t="shared" ref="E7:E9" si="1">D7*SQRT((C7/B7)^2+($B$2/$A$2)^2)</f>
        <v>7.5211613651368664E-2</v>
      </c>
      <c r="F7" s="3"/>
      <c r="G7" s="3"/>
    </row>
    <row r="8" spans="1:9" x14ac:dyDescent="0.2">
      <c r="A8" t="s">
        <v>8</v>
      </c>
      <c r="B8" s="2">
        <v>4.5992999999999999E-2</v>
      </c>
      <c r="C8" s="2">
        <v>4.4818899999999997E-3</v>
      </c>
      <c r="D8" s="2">
        <f t="shared" si="0"/>
        <v>0.61324000000000001</v>
      </c>
      <c r="E8" s="2">
        <f t="shared" si="1"/>
        <v>6.8123222646678194E-2</v>
      </c>
      <c r="F8" s="3"/>
      <c r="G8" s="3"/>
    </row>
    <row r="9" spans="1:9" x14ac:dyDescent="0.2">
      <c r="A9" t="s">
        <v>9</v>
      </c>
      <c r="B9" s="2">
        <v>3.2809499999999998E-2</v>
      </c>
      <c r="C9" s="2">
        <v>3.9320300000000004E-3</v>
      </c>
      <c r="D9" s="2">
        <f t="shared" si="0"/>
        <v>0.43746000000000002</v>
      </c>
      <c r="E9" s="2">
        <f t="shared" si="1"/>
        <v>5.7384163431308408E-2</v>
      </c>
      <c r="F9" s="3"/>
      <c r="G9" s="3"/>
    </row>
    <row r="11" spans="1:9" x14ac:dyDescent="0.2">
      <c r="A11" t="s">
        <v>10</v>
      </c>
      <c r="B11" s="1" t="s">
        <v>2</v>
      </c>
      <c r="C11" s="1"/>
      <c r="D11" s="1" t="s">
        <v>12</v>
      </c>
      <c r="E11" s="1"/>
      <c r="H11" s="1"/>
      <c r="I11" s="1"/>
    </row>
    <row r="12" spans="1:9" x14ac:dyDescent="0.2">
      <c r="A12" t="s">
        <v>3</v>
      </c>
      <c r="B12" t="s">
        <v>4</v>
      </c>
      <c r="C12" t="s">
        <v>5</v>
      </c>
      <c r="D12" t="s">
        <v>4</v>
      </c>
      <c r="E12" t="s">
        <v>5</v>
      </c>
    </row>
    <row r="13" spans="1:9" x14ac:dyDescent="0.2">
      <c r="A13" t="s">
        <v>6</v>
      </c>
      <c r="B13" s="2">
        <v>4.3857500000000001E-2</v>
      </c>
      <c r="C13" s="2">
        <v>8.7930500000000002E-3</v>
      </c>
      <c r="D13" s="2">
        <f>B13/$A$2</f>
        <v>0.58476666666666666</v>
      </c>
      <c r="E13" s="2">
        <f>D13*SQRT((C13/B13)^2+($B$2/$A$2)^2)</f>
        <v>0.12131791929461744</v>
      </c>
      <c r="F13" s="3"/>
      <c r="G13" s="3"/>
    </row>
    <row r="14" spans="1:9" x14ac:dyDescent="0.2">
      <c r="A14" t="s">
        <v>7</v>
      </c>
      <c r="B14" s="2">
        <v>2.55541E-2</v>
      </c>
      <c r="C14" s="2">
        <v>7.5070299999999996E-3</v>
      </c>
      <c r="D14" s="2">
        <f t="shared" ref="D14:D16" si="2">B14/$A$2</f>
        <v>0.34072133333333332</v>
      </c>
      <c r="E14" s="2">
        <f t="shared" ref="E14:E16" si="3">D14*SQRT((C14/B14)^2+($B$2/$A$2)^2)</f>
        <v>0.10172988709996475</v>
      </c>
      <c r="F14" s="3"/>
      <c r="G14" s="3"/>
    </row>
    <row r="15" spans="1:9" x14ac:dyDescent="0.2">
      <c r="A15" t="s">
        <v>8</v>
      </c>
      <c r="B15" s="2">
        <v>4.81976E-2</v>
      </c>
      <c r="C15" s="2">
        <v>6.1603500000000002E-3</v>
      </c>
      <c r="D15" s="2">
        <f t="shared" si="2"/>
        <v>0.64263466666666669</v>
      </c>
      <c r="E15" s="2">
        <f t="shared" si="3"/>
        <v>8.9001953695738573E-2</v>
      </c>
      <c r="F15" s="3"/>
      <c r="G15" s="3"/>
    </row>
    <row r="16" spans="1:9" x14ac:dyDescent="0.2">
      <c r="A16" t="s">
        <v>9</v>
      </c>
      <c r="B16" s="2">
        <v>3.4759999999999999E-2</v>
      </c>
      <c r="C16" s="2">
        <v>5.4018699999999996E-3</v>
      </c>
      <c r="D16" s="2">
        <f t="shared" si="2"/>
        <v>0.46346666666666669</v>
      </c>
      <c r="E16" s="2">
        <f t="shared" si="3"/>
        <v>7.614841778722832E-2</v>
      </c>
      <c r="F16" s="3"/>
      <c r="G16" s="3"/>
    </row>
    <row r="18" spans="1:9" x14ac:dyDescent="0.2">
      <c r="A18" t="s">
        <v>11</v>
      </c>
      <c r="B18" s="1" t="s">
        <v>2</v>
      </c>
      <c r="C18" s="1"/>
      <c r="D18" s="1" t="s">
        <v>12</v>
      </c>
      <c r="E18" s="1"/>
      <c r="H18" s="1"/>
      <c r="I18" s="1"/>
    </row>
    <row r="19" spans="1:9" x14ac:dyDescent="0.2">
      <c r="A19" t="s">
        <v>3</v>
      </c>
      <c r="B19" t="s">
        <v>4</v>
      </c>
      <c r="C19" t="s">
        <v>5</v>
      </c>
      <c r="D19" t="s">
        <v>4</v>
      </c>
      <c r="E19" t="s">
        <v>5</v>
      </c>
    </row>
    <row r="20" spans="1:9" x14ac:dyDescent="0.2">
      <c r="A20" t="s">
        <v>6</v>
      </c>
      <c r="B20" s="2">
        <v>1.7494300000000001E-2</v>
      </c>
      <c r="C20" s="2">
        <v>9.2297200000000003E-3</v>
      </c>
      <c r="D20" s="2">
        <f>B20/$A$2</f>
        <v>0.23325733333333334</v>
      </c>
      <c r="E20" s="2">
        <f>D20*SQRT((C20/B20)^2+($B$2/$A$2)^2)</f>
        <v>0.12369013255551897</v>
      </c>
      <c r="F20" s="3"/>
      <c r="G20" s="3"/>
    </row>
    <row r="21" spans="1:9" x14ac:dyDescent="0.2">
      <c r="A21" t="s">
        <v>7</v>
      </c>
      <c r="B21" s="2">
        <v>3.0685E-2</v>
      </c>
      <c r="C21" s="2">
        <v>7.8925499999999999E-3</v>
      </c>
      <c r="D21" s="2">
        <f t="shared" ref="D21:D23" si="4">B21/$A$2</f>
        <v>0.40913333333333335</v>
      </c>
      <c r="E21" s="2">
        <f t="shared" ref="E21:E23" si="5">D21*SQRT((C21/B21)^2+($B$2/$A$2)^2)</f>
        <v>0.10747244554653575</v>
      </c>
      <c r="F21" s="3"/>
      <c r="G21" s="3"/>
    </row>
    <row r="22" spans="1:9" x14ac:dyDescent="0.2">
      <c r="A22" t="s">
        <v>8</v>
      </c>
      <c r="B22" s="2">
        <v>4.3543699999999998E-2</v>
      </c>
      <c r="C22" s="2">
        <v>6.5324700000000003E-3</v>
      </c>
      <c r="D22" s="2">
        <f t="shared" si="4"/>
        <v>0.58058266666666669</v>
      </c>
      <c r="E22" s="2">
        <f t="shared" si="5"/>
        <v>9.2439899058784691E-2</v>
      </c>
      <c r="F22" s="3"/>
      <c r="G22" s="3"/>
    </row>
    <row r="23" spans="1:9" x14ac:dyDescent="0.2">
      <c r="A23" t="s">
        <v>9</v>
      </c>
      <c r="B23" s="2">
        <v>3.0622400000000001E-2</v>
      </c>
      <c r="C23" s="2">
        <v>5.7343999999999997E-3</v>
      </c>
      <c r="D23" s="2">
        <f t="shared" si="4"/>
        <v>0.4082986666666667</v>
      </c>
      <c r="E23" s="2">
        <f t="shared" si="5"/>
        <v>7.9499174759354516E-2</v>
      </c>
      <c r="F23" s="3"/>
      <c r="G23" s="3"/>
    </row>
  </sheetData>
  <mergeCells count="10">
    <mergeCell ref="B4:C4"/>
    <mergeCell ref="D4:E4"/>
    <mergeCell ref="F4:G4"/>
    <mergeCell ref="H4:I4"/>
    <mergeCell ref="H11:I11"/>
    <mergeCell ref="H18:I18"/>
    <mergeCell ref="D11:E11"/>
    <mergeCell ref="D18:E18"/>
    <mergeCell ref="B11:C11"/>
    <mergeCell ref="B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2022-06-23T15:20:57Z</dcterms:created>
  <dcterms:modified xsi:type="dcterms:W3CDTF">2022-06-23T15:22:39Z</dcterms:modified>
</cp:coreProperties>
</file>