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5D444030-570D-6547-AFCD-775B7B4D897D}" xr6:coauthVersionLast="47" xr6:coauthVersionMax="47" xr10:uidLastSave="{00000000-0000-0000-0000-000000000000}"/>
  <bookViews>
    <workbookView xWindow="0" yWindow="500" windowWidth="28800" windowHeight="17500" xr2:uid="{5EC16708-1E7D-0544-B394-6DCD033383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1" i="1" l="1"/>
  <c r="R4" i="1"/>
  <c r="R3" i="1"/>
  <c r="K30" i="1"/>
  <c r="K29" i="1"/>
  <c r="M3" i="1"/>
  <c r="N3" i="1"/>
  <c r="L6" i="1"/>
  <c r="L9" i="1" s="1"/>
  <c r="J2" i="1"/>
  <c r="L5" i="1"/>
  <c r="L16" i="1"/>
  <c r="L23" i="1"/>
  <c r="L22" i="1"/>
  <c r="L20" i="1"/>
  <c r="L17" i="1"/>
  <c r="L19" i="1" s="1"/>
  <c r="H32" i="1"/>
  <c r="H31" i="1"/>
  <c r="L10" i="1" l="1"/>
</calcChain>
</file>

<file path=xl/sharedStrings.xml><?xml version="1.0" encoding="utf-8"?>
<sst xmlns="http://schemas.openxmlformats.org/spreadsheetml/2006/main" count="90" uniqueCount="86">
  <si>
    <t xml:space="preserve">Date </t>
  </si>
  <si>
    <t xml:space="preserve">Output directory </t>
  </si>
  <si>
    <t>Complete?</t>
  </si>
  <si>
    <t>Hadd directory</t>
  </si>
  <si>
    <t>2022-02-01-13-55-11</t>
  </si>
  <si>
    <t>2022-02-02-04-54-32</t>
  </si>
  <si>
    <t xml:space="preserve">Hadded? </t>
  </si>
  <si>
    <t>2022-02-07-05-48-16</t>
  </si>
  <si>
    <t>2022-02-09-08-25-14</t>
  </si>
  <si>
    <t>2022-02-09-08-25-33</t>
  </si>
  <si>
    <t>2022-02-09-15-14-46</t>
  </si>
  <si>
    <t>2022-02-10-02-36-24</t>
  </si>
  <si>
    <t>2022-02-10-09-44-48</t>
  </si>
  <si>
    <t>2022-02-11-07-01-10</t>
  </si>
  <si>
    <t>2022-02-11-07-01-25</t>
  </si>
  <si>
    <t>2022-02-11-07-01-38</t>
  </si>
  <si>
    <t>2022-02-11-07-05-19</t>
  </si>
  <si>
    <t>2022-02-11-15-49-05</t>
  </si>
  <si>
    <t>2022-02-12-11-43-27</t>
  </si>
  <si>
    <t>2022-02-12-11-44-20</t>
  </si>
  <si>
    <t>2022-02-12-11-45-41</t>
  </si>
  <si>
    <t>2022-02-12-19-08-19</t>
  </si>
  <si>
    <t>2022-02-13-09-32-36</t>
  </si>
  <si>
    <t>2022-02-13-09-37-21</t>
  </si>
  <si>
    <t>2022-02-14-05-40-36</t>
  </si>
  <si>
    <t>2022-02-14-05-40-52</t>
  </si>
  <si>
    <t>2022-02-14-05-41-40</t>
  </si>
  <si>
    <t>2022-02-17-06-51-28</t>
  </si>
  <si>
    <t>2022-02-17-07-00-32</t>
  </si>
  <si>
    <t>2022-02-17-18-24-53</t>
  </si>
  <si>
    <t>2022-02-19-12-42-39</t>
  </si>
  <si>
    <t>2022-02-23-16-06-56</t>
  </si>
  <si>
    <t>2022-02-23-16-07-20</t>
  </si>
  <si>
    <t>2022-02-23-16-07-40</t>
  </si>
  <si>
    <t>2022-02-23-16-10-20</t>
  </si>
  <si>
    <t>2022-02-24-09-12-45</t>
  </si>
  <si>
    <t>2022-02-24-22-14-00</t>
  </si>
  <si>
    <t>2022-02-27-07-47-20</t>
  </si>
  <si>
    <t>2022-02-27-07-47-40</t>
  </si>
  <si>
    <t>2022-02-27-07-47-54</t>
  </si>
  <si>
    <t>2022-02-27-07-48-57</t>
  </si>
  <si>
    <t>2022-02-28-09-46-19</t>
  </si>
  <si>
    <t>2022-02-28-09-53-29</t>
  </si>
  <si>
    <t>2022-03-01-12-58-14</t>
  </si>
  <si>
    <t>2022-03-01-12-48-50</t>
  </si>
  <si>
    <t>2022-03-02-07-03-10</t>
  </si>
  <si>
    <t>2022-03-03-07-48-10</t>
  </si>
  <si>
    <t>2022-03-03-07-48-43</t>
  </si>
  <si>
    <t>2022-03-03-08-01-16</t>
  </si>
  <si>
    <t>Name</t>
  </si>
  <si>
    <t>Quality vertices</t>
  </si>
  <si>
    <t>trackTruthTrees.5.root</t>
  </si>
  <si>
    <t>Total</t>
  </si>
  <si>
    <t>2022-03-09-11-05-37</t>
  </si>
  <si>
    <t>2022-03-09-11-08-56</t>
  </si>
  <si>
    <t>2022-03-13-14-53-22</t>
  </si>
  <si>
    <t>2022-03-13-14-53-51</t>
  </si>
  <si>
    <t>2022-03-14-04-55-48</t>
  </si>
  <si>
    <t>2022-03-14-11-08-13</t>
  </si>
  <si>
    <t>2022-03-15-17-16-26</t>
  </si>
  <si>
    <t>2022-03-16-10-33-26</t>
  </si>
  <si>
    <t>2022-03-16-10-33-13</t>
  </si>
  <si>
    <t>2022-03-16-10-33-40</t>
  </si>
  <si>
    <t>2022-03-16-10-34-34</t>
  </si>
  <si>
    <t>2022-03-17-16-02-57</t>
  </si>
  <si>
    <t>2022-03-17-20-41-35</t>
  </si>
  <si>
    <t>2022-03-18-06-31-39</t>
  </si>
  <si>
    <t>2022-03-18-06-32-20</t>
  </si>
  <si>
    <t>2022-03-18-06-33-18</t>
  </si>
  <si>
    <t>trackTruthTrees.6.root</t>
  </si>
  <si>
    <t>2022-03-24-21-37-34</t>
  </si>
  <si>
    <t>2022-03-24-21-38-06</t>
  </si>
  <si>
    <t>2022-03-24-21-38-22</t>
  </si>
  <si>
    <t>Events</t>
  </si>
  <si>
    <t>Raw</t>
  </si>
  <si>
    <t>Cuts</t>
  </si>
  <si>
    <t>Jobs</t>
  </si>
  <si>
    <t xml:space="preserve">Events </t>
  </si>
  <si>
    <t>Events / submission</t>
  </si>
  <si>
    <t xml:space="preserve">Vertices / submission </t>
  </si>
  <si>
    <t>Vertices / event</t>
  </si>
  <si>
    <t>Events / vertex</t>
  </si>
  <si>
    <t>Cuts vertices / submission</t>
  </si>
  <si>
    <t>Events / vertex (raw)</t>
  </si>
  <si>
    <t>Events / vertex (cuts)</t>
  </si>
  <si>
    <t>On 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</si>
</sst>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0" borderId="0" xfId="0" applyNumberFormat="1"/>
    <xf numFmtId="1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4" fontId="2" fillId="3" borderId="8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1" fontId="0" fillId="0" borderId="0" xfId="0" applyNumberFormat="1"/>
    <xf numFmtId="0" fontId="0" fillId="0" borderId="0" xfId="0" applyNumberFormat="1"/>
    <xf numFmtId="3" fontId="0" fillId="0" borderId="0" xfId="0" applyNumberFormat="1"/>
    <xf numFmtId="164" fontId="0" fillId="0" borderId="0" xfId="1" applyNumberFormat="1" applyFont="1"/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vertical="center"/>
    </xf>
    <xf numFmtId="0" fontId="0" fillId="3" borderId="12" xfId="0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8A78"/>
      <color rgb="FFFF6438"/>
      <color rgb="FFF46032"/>
      <color rgb="FFDB58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C9D9F-763E-3C49-967B-5A1EE4155DD8}">
  <dimension ref="A1:R41"/>
  <sheetViews>
    <sheetView tabSelected="1" workbookViewId="0">
      <selection activeCell="E2" sqref="E2"/>
    </sheetView>
  </sheetViews>
  <sheetFormatPr baseColWidth="10" defaultRowHeight="16" x14ac:dyDescent="0.2"/>
  <cols>
    <col min="1" max="1" width="12" style="2" customWidth="1"/>
    <col min="2" max="2" width="20" style="2" customWidth="1"/>
    <col min="3" max="3" width="13.5" style="2" customWidth="1"/>
    <col min="4" max="4" width="11.83203125" style="2" customWidth="1"/>
    <col min="5" max="5" width="20.5" style="2" customWidth="1"/>
    <col min="6" max="6" width="28.6640625" bestFit="1" customWidth="1"/>
    <col min="7" max="7" width="14.1640625" bestFit="1" customWidth="1"/>
    <col min="8" max="8" width="11.1640625" bestFit="1" customWidth="1"/>
    <col min="9" max="9" width="10.6640625" bestFit="1" customWidth="1"/>
    <col min="10" max="10" width="11.1640625" bestFit="1" customWidth="1"/>
    <col min="11" max="11" width="22.83203125" bestFit="1" customWidth="1"/>
    <col min="12" max="12" width="12.1640625" bestFit="1" customWidth="1"/>
    <col min="14" max="14" width="11.1640625" bestFit="1" customWidth="1"/>
    <col min="18" max="18" width="11.1640625" bestFit="1" customWidth="1"/>
  </cols>
  <sheetData>
    <row r="1" spans="1:18" ht="17" thickBot="1" x14ac:dyDescent="0.25">
      <c r="A1" s="4" t="s">
        <v>0</v>
      </c>
      <c r="B1" s="4" t="s">
        <v>1</v>
      </c>
      <c r="C1" s="4" t="s">
        <v>2</v>
      </c>
      <c r="D1" s="4" t="s">
        <v>6</v>
      </c>
      <c r="E1" s="4" t="s">
        <v>3</v>
      </c>
      <c r="F1" s="3" t="s">
        <v>49</v>
      </c>
      <c r="G1" s="5" t="s">
        <v>50</v>
      </c>
      <c r="H1" s="5" t="s">
        <v>73</v>
      </c>
      <c r="I1" s="6" t="s">
        <v>52</v>
      </c>
    </row>
    <row r="2" spans="1:18" x14ac:dyDescent="0.2">
      <c r="A2" s="14">
        <v>44593</v>
      </c>
      <c r="B2" s="15" t="s">
        <v>4</v>
      </c>
      <c r="C2" s="15" t="b">
        <v>1</v>
      </c>
      <c r="D2" s="15" t="b">
        <v>1</v>
      </c>
      <c r="E2" s="15" t="s">
        <v>5</v>
      </c>
      <c r="F2" s="26" t="s">
        <v>51</v>
      </c>
      <c r="G2" s="26">
        <v>5484331</v>
      </c>
      <c r="H2">
        <v>1000</v>
      </c>
      <c r="I2" s="24">
        <v>50000</v>
      </c>
      <c r="J2">
        <f>I2*H2</f>
        <v>50000000</v>
      </c>
      <c r="K2">
        <v>5</v>
      </c>
      <c r="Q2" t="s">
        <v>85</v>
      </c>
    </row>
    <row r="3" spans="1:18" x14ac:dyDescent="0.2">
      <c r="A3" s="16">
        <v>44599</v>
      </c>
      <c r="B3" s="17" t="s">
        <v>7</v>
      </c>
      <c r="C3" s="17" t="b">
        <v>1</v>
      </c>
      <c r="D3" s="17" t="b">
        <v>1</v>
      </c>
      <c r="E3" s="17" t="s">
        <v>8</v>
      </c>
      <c r="F3" s="26"/>
      <c r="G3" s="26"/>
      <c r="H3">
        <v>1000</v>
      </c>
      <c r="I3" s="24">
        <v>50000</v>
      </c>
      <c r="K3" t="s">
        <v>74</v>
      </c>
      <c r="L3" s="22">
        <v>5484331</v>
      </c>
      <c r="M3" s="23">
        <f>L3/(20000)</f>
        <v>274.21654999999998</v>
      </c>
      <c r="N3" s="22">
        <f>20*1000*50000</f>
        <v>1000000000</v>
      </c>
      <c r="P3" t="s">
        <v>74</v>
      </c>
      <c r="Q3">
        <v>10671380</v>
      </c>
      <c r="R3">
        <f>Q3*L9</f>
        <v>1945794300.1616788</v>
      </c>
    </row>
    <row r="4" spans="1:18" x14ac:dyDescent="0.2">
      <c r="A4" s="16">
        <v>44601</v>
      </c>
      <c r="B4" s="17" t="s">
        <v>9</v>
      </c>
      <c r="C4" s="17" t="b">
        <v>1</v>
      </c>
      <c r="D4" s="17" t="b">
        <v>1</v>
      </c>
      <c r="E4" s="17" t="s">
        <v>13</v>
      </c>
      <c r="F4" s="26"/>
      <c r="G4" s="26"/>
      <c r="H4">
        <v>1000</v>
      </c>
      <c r="I4" s="24">
        <v>50000</v>
      </c>
      <c r="K4" t="s">
        <v>75</v>
      </c>
      <c r="L4" s="22">
        <v>2366239</v>
      </c>
      <c r="P4" t="s">
        <v>75</v>
      </c>
      <c r="Q4">
        <v>4603005</v>
      </c>
      <c r="R4" s="22">
        <f>Q4*L10</f>
        <v>1945283211.036586</v>
      </c>
    </row>
    <row r="5" spans="1:18" x14ac:dyDescent="0.2">
      <c r="A5" s="16">
        <v>44601</v>
      </c>
      <c r="B5" s="17" t="s">
        <v>10</v>
      </c>
      <c r="C5" s="17" t="b">
        <v>1</v>
      </c>
      <c r="D5" s="17" t="b">
        <v>1</v>
      </c>
      <c r="E5" s="17" t="s">
        <v>14</v>
      </c>
      <c r="F5" s="26"/>
      <c r="G5" s="26"/>
      <c r="H5">
        <v>1000</v>
      </c>
      <c r="I5" s="24">
        <v>50000</v>
      </c>
      <c r="K5" t="s">
        <v>76</v>
      </c>
      <c r="L5">
        <f>SUM(H2:H21)</f>
        <v>20000</v>
      </c>
    </row>
    <row r="6" spans="1:18" x14ac:dyDescent="0.2">
      <c r="A6" s="16">
        <v>44602</v>
      </c>
      <c r="B6" s="17" t="s">
        <v>11</v>
      </c>
      <c r="C6" s="17" t="b">
        <v>1</v>
      </c>
      <c r="D6" s="17" t="b">
        <v>1</v>
      </c>
      <c r="E6" s="17" t="s">
        <v>15</v>
      </c>
      <c r="F6" s="26"/>
      <c r="G6" s="26"/>
      <c r="H6">
        <v>1000</v>
      </c>
      <c r="I6" s="24">
        <v>50000</v>
      </c>
      <c r="K6" t="s">
        <v>77</v>
      </c>
      <c r="L6" s="22">
        <f>J2*COUNT(I2:I21)</f>
        <v>1000000000</v>
      </c>
    </row>
    <row r="7" spans="1:18" x14ac:dyDescent="0.2">
      <c r="A7" s="16">
        <v>44602</v>
      </c>
      <c r="B7" s="17" t="s">
        <v>12</v>
      </c>
      <c r="C7" s="17" t="b">
        <v>1</v>
      </c>
      <c r="D7" s="17" t="b">
        <v>1</v>
      </c>
      <c r="E7" s="17" t="s">
        <v>15</v>
      </c>
      <c r="F7" s="26"/>
      <c r="G7" s="26"/>
      <c r="H7">
        <v>1000</v>
      </c>
      <c r="I7" s="24">
        <v>50000</v>
      </c>
    </row>
    <row r="8" spans="1:18" x14ac:dyDescent="0.2">
      <c r="A8" s="16">
        <v>44603</v>
      </c>
      <c r="B8" s="17" t="s">
        <v>16</v>
      </c>
      <c r="C8" s="17" t="b">
        <v>1</v>
      </c>
      <c r="D8" s="17" t="b">
        <v>1</v>
      </c>
      <c r="E8" s="17" t="s">
        <v>18</v>
      </c>
      <c r="F8" s="26"/>
      <c r="G8" s="26"/>
      <c r="H8">
        <v>1000</v>
      </c>
      <c r="I8" s="24">
        <v>50000</v>
      </c>
    </row>
    <row r="9" spans="1:18" x14ac:dyDescent="0.2">
      <c r="A9" s="16">
        <v>44603</v>
      </c>
      <c r="B9" s="17" t="s">
        <v>17</v>
      </c>
      <c r="C9" s="17" t="b">
        <v>1</v>
      </c>
      <c r="D9" s="17" t="b">
        <v>1</v>
      </c>
      <c r="E9" s="17" t="s">
        <v>19</v>
      </c>
      <c r="F9" s="26"/>
      <c r="G9" s="26"/>
      <c r="H9">
        <v>1000</v>
      </c>
      <c r="I9" s="24">
        <v>50000</v>
      </c>
      <c r="K9" t="s">
        <v>83</v>
      </c>
      <c r="L9" s="23">
        <f>L6/L3</f>
        <v>182.33764519318765</v>
      </c>
    </row>
    <row r="10" spans="1:18" x14ac:dyDescent="0.2">
      <c r="A10" s="16">
        <v>44604</v>
      </c>
      <c r="B10" s="17" t="s">
        <v>20</v>
      </c>
      <c r="C10" s="17" t="b">
        <v>1</v>
      </c>
      <c r="D10" s="17" t="b">
        <v>1</v>
      </c>
      <c r="E10" s="17" t="s">
        <v>23</v>
      </c>
      <c r="F10" s="26"/>
      <c r="G10" s="26"/>
      <c r="H10">
        <v>1000</v>
      </c>
      <c r="I10" s="24">
        <v>50000</v>
      </c>
      <c r="K10" t="s">
        <v>84</v>
      </c>
      <c r="L10" s="23">
        <f>L6/L4</f>
        <v>422.61157896560746</v>
      </c>
    </row>
    <row r="11" spans="1:18" x14ac:dyDescent="0.2">
      <c r="A11" s="16">
        <v>44605</v>
      </c>
      <c r="B11" s="17" t="s">
        <v>21</v>
      </c>
      <c r="C11" s="17" t="b">
        <v>1</v>
      </c>
      <c r="D11" s="17" t="b">
        <v>1</v>
      </c>
      <c r="E11" s="17" t="s">
        <v>24</v>
      </c>
      <c r="F11" s="26"/>
      <c r="G11" s="26"/>
      <c r="H11">
        <v>1000</v>
      </c>
      <c r="I11" s="24">
        <v>50000</v>
      </c>
    </row>
    <row r="12" spans="1:18" x14ac:dyDescent="0.2">
      <c r="A12" s="18">
        <v>44605</v>
      </c>
      <c r="B12" s="17" t="s">
        <v>22</v>
      </c>
      <c r="C12" s="17" t="b">
        <v>1</v>
      </c>
      <c r="D12" s="17" t="b">
        <v>1</v>
      </c>
      <c r="E12" s="17" t="s">
        <v>25</v>
      </c>
      <c r="F12" s="26"/>
      <c r="G12" s="26"/>
      <c r="H12">
        <v>1000</v>
      </c>
      <c r="I12" s="24">
        <v>50000</v>
      </c>
    </row>
    <row r="13" spans="1:18" x14ac:dyDescent="0.2">
      <c r="A13" s="19">
        <v>44606</v>
      </c>
      <c r="B13" s="11" t="s">
        <v>26</v>
      </c>
      <c r="C13" s="11" t="b">
        <v>1</v>
      </c>
      <c r="D13" s="11" t="b">
        <v>1</v>
      </c>
      <c r="E13" s="11" t="s">
        <v>27</v>
      </c>
      <c r="F13" s="26"/>
      <c r="G13" s="26"/>
      <c r="H13">
        <v>1000</v>
      </c>
      <c r="I13" s="24">
        <v>50000</v>
      </c>
      <c r="M13" s="23"/>
    </row>
    <row r="14" spans="1:18" x14ac:dyDescent="0.2">
      <c r="A14" s="10">
        <v>44609</v>
      </c>
      <c r="B14" s="11" t="s">
        <v>28</v>
      </c>
      <c r="C14" s="11" t="b">
        <v>1</v>
      </c>
      <c r="D14" s="11" t="b">
        <v>1</v>
      </c>
      <c r="E14" s="11" t="s">
        <v>31</v>
      </c>
      <c r="F14" s="26"/>
      <c r="G14" s="26"/>
      <c r="H14">
        <v>1000</v>
      </c>
      <c r="I14" s="24">
        <v>50000</v>
      </c>
    </row>
    <row r="15" spans="1:18" x14ac:dyDescent="0.2">
      <c r="A15" s="10">
        <v>44609</v>
      </c>
      <c r="B15" s="11" t="s">
        <v>29</v>
      </c>
      <c r="C15" s="11" t="b">
        <v>1</v>
      </c>
      <c r="D15" s="11" t="b">
        <v>1</v>
      </c>
      <c r="E15" s="11" t="s">
        <v>32</v>
      </c>
      <c r="F15" s="26"/>
      <c r="G15" s="26"/>
      <c r="H15">
        <v>1000</v>
      </c>
      <c r="I15" s="24">
        <v>50000</v>
      </c>
    </row>
    <row r="16" spans="1:18" x14ac:dyDescent="0.2">
      <c r="A16" s="10">
        <v>44611</v>
      </c>
      <c r="B16" s="11" t="s">
        <v>30</v>
      </c>
      <c r="C16" s="11" t="b">
        <v>1</v>
      </c>
      <c r="D16" s="11" t="b">
        <v>1</v>
      </c>
      <c r="E16" s="11" t="s">
        <v>33</v>
      </c>
      <c r="F16" s="26"/>
      <c r="G16" s="26"/>
      <c r="H16">
        <v>1000</v>
      </c>
      <c r="I16" s="24">
        <v>50000</v>
      </c>
      <c r="K16" t="s">
        <v>78</v>
      </c>
      <c r="L16" s="22">
        <f>H2*I2</f>
        <v>50000000</v>
      </c>
    </row>
    <row r="17" spans="1:12" x14ac:dyDescent="0.2">
      <c r="A17" s="10">
        <v>44615</v>
      </c>
      <c r="B17" s="11" t="s">
        <v>34</v>
      </c>
      <c r="C17" s="11" t="b">
        <v>1</v>
      </c>
      <c r="D17" s="11" t="b">
        <v>1</v>
      </c>
      <c r="E17" s="11" t="s">
        <v>37</v>
      </c>
      <c r="F17" s="26"/>
      <c r="G17" s="26"/>
      <c r="H17">
        <v>1000</v>
      </c>
      <c r="I17" s="24">
        <v>50000</v>
      </c>
      <c r="K17" t="s">
        <v>79</v>
      </c>
      <c r="L17" s="22" t="e">
        <f>L3/L7</f>
        <v>#DIV/0!</v>
      </c>
    </row>
    <row r="18" spans="1:12" x14ac:dyDescent="0.2">
      <c r="A18" s="10">
        <v>44616</v>
      </c>
      <c r="B18" s="11" t="s">
        <v>35</v>
      </c>
      <c r="C18" s="11" t="b">
        <v>1</v>
      </c>
      <c r="D18" s="11" t="b">
        <v>1</v>
      </c>
      <c r="E18" s="11" t="s">
        <v>38</v>
      </c>
      <c r="F18" s="26"/>
      <c r="G18" s="26"/>
      <c r="H18">
        <v>1000</v>
      </c>
      <c r="I18" s="24">
        <v>50000</v>
      </c>
    </row>
    <row r="19" spans="1:12" x14ac:dyDescent="0.2">
      <c r="A19" s="10">
        <v>44617</v>
      </c>
      <c r="B19" s="11" t="s">
        <v>36</v>
      </c>
      <c r="C19" s="11" t="b">
        <v>1</v>
      </c>
      <c r="D19" s="11" t="b">
        <v>1</v>
      </c>
      <c r="E19" s="11" t="s">
        <v>39</v>
      </c>
      <c r="F19" s="26"/>
      <c r="G19" s="26"/>
      <c r="H19">
        <v>1000</v>
      </c>
      <c r="I19" s="24">
        <v>50000</v>
      </c>
      <c r="K19" t="s">
        <v>80</v>
      </c>
      <c r="L19" s="25" t="e">
        <f>L17/L16</f>
        <v>#DIV/0!</v>
      </c>
    </row>
    <row r="20" spans="1:12" x14ac:dyDescent="0.2">
      <c r="A20" s="10">
        <v>44619</v>
      </c>
      <c r="B20" s="11" t="s">
        <v>40</v>
      </c>
      <c r="C20" s="11" t="b">
        <v>1</v>
      </c>
      <c r="D20" s="11" t="b">
        <v>1</v>
      </c>
      <c r="E20" s="11" t="s">
        <v>42</v>
      </c>
      <c r="F20" s="26"/>
      <c r="G20" s="26"/>
      <c r="H20">
        <v>1000</v>
      </c>
      <c r="I20" s="24">
        <v>50000</v>
      </c>
      <c r="K20" t="s">
        <v>81</v>
      </c>
      <c r="L20" s="23" t="e">
        <f>L16/L17</f>
        <v>#DIV/0!</v>
      </c>
    </row>
    <row r="21" spans="1:12" ht="17" thickBot="1" x14ac:dyDescent="0.25">
      <c r="A21" s="12">
        <v>44620</v>
      </c>
      <c r="B21" s="13" t="s">
        <v>41</v>
      </c>
      <c r="C21" s="13" t="b">
        <v>1</v>
      </c>
      <c r="D21" s="13" t="b">
        <v>1</v>
      </c>
      <c r="E21" s="13" t="s">
        <v>44</v>
      </c>
      <c r="F21" s="26"/>
      <c r="G21" s="26"/>
      <c r="H21">
        <v>1000</v>
      </c>
      <c r="I21" s="24">
        <v>50000</v>
      </c>
      <c r="J21" s="22">
        <f>I21*H21*COUNT(H2:H21)</f>
        <v>1000000000</v>
      </c>
    </row>
    <row r="22" spans="1:12" x14ac:dyDescent="0.2">
      <c r="A22" s="8">
        <v>44621</v>
      </c>
      <c r="B22" s="9" t="s">
        <v>43</v>
      </c>
      <c r="C22" s="9" t="b">
        <v>1</v>
      </c>
      <c r="D22" s="9" t="b">
        <v>1</v>
      </c>
      <c r="E22" s="9" t="s">
        <v>46</v>
      </c>
      <c r="F22" s="27" t="s">
        <v>69</v>
      </c>
      <c r="G22" s="28"/>
      <c r="H22">
        <v>1000</v>
      </c>
      <c r="I22" s="24">
        <v>50000</v>
      </c>
      <c r="K22" t="s">
        <v>82</v>
      </c>
      <c r="L22" s="22" t="e">
        <f>L4/L7</f>
        <v>#DIV/0!</v>
      </c>
    </row>
    <row r="23" spans="1:12" x14ac:dyDescent="0.2">
      <c r="A23" s="10">
        <v>44622</v>
      </c>
      <c r="B23" s="11" t="s">
        <v>45</v>
      </c>
      <c r="C23" s="11" t="b">
        <v>1</v>
      </c>
      <c r="D23" s="11" t="b">
        <v>1</v>
      </c>
      <c r="E23" s="11" t="s">
        <v>47</v>
      </c>
      <c r="F23" s="29"/>
      <c r="G23" s="30"/>
      <c r="H23">
        <v>1000</v>
      </c>
      <c r="I23" s="24">
        <v>50000</v>
      </c>
      <c r="K23" t="s">
        <v>81</v>
      </c>
      <c r="L23" s="22" t="e">
        <f>L16/L22</f>
        <v>#DIV/0!</v>
      </c>
    </row>
    <row r="24" spans="1:12" x14ac:dyDescent="0.2">
      <c r="A24" s="10">
        <v>44623</v>
      </c>
      <c r="B24" s="11" t="s">
        <v>48</v>
      </c>
      <c r="C24" s="11" t="b">
        <v>1</v>
      </c>
      <c r="D24" s="11" t="b">
        <v>1</v>
      </c>
      <c r="E24" s="11" t="s">
        <v>54</v>
      </c>
      <c r="F24" s="29"/>
      <c r="G24" s="30"/>
      <c r="H24">
        <v>1000</v>
      </c>
      <c r="I24" s="24">
        <v>50000</v>
      </c>
    </row>
    <row r="25" spans="1:12" x14ac:dyDescent="0.2">
      <c r="A25" s="10">
        <v>44629</v>
      </c>
      <c r="B25" s="11" t="s">
        <v>53</v>
      </c>
      <c r="C25" s="11" t="b">
        <v>1</v>
      </c>
      <c r="D25" s="11" t="b">
        <v>1</v>
      </c>
      <c r="E25" s="11" t="s">
        <v>55</v>
      </c>
      <c r="F25" s="29"/>
      <c r="G25" s="30"/>
      <c r="H25">
        <v>1000</v>
      </c>
      <c r="I25" s="24">
        <v>50000</v>
      </c>
    </row>
    <row r="26" spans="1:12" x14ac:dyDescent="0.2">
      <c r="A26" s="10">
        <v>44633</v>
      </c>
      <c r="B26" s="11" t="s">
        <v>56</v>
      </c>
      <c r="C26" s="11" t="b">
        <v>1</v>
      </c>
      <c r="D26" s="11" t="b">
        <v>1</v>
      </c>
      <c r="E26" s="11" t="s">
        <v>61</v>
      </c>
      <c r="F26" s="29"/>
      <c r="G26" s="30"/>
      <c r="H26">
        <v>1000</v>
      </c>
      <c r="I26" s="24">
        <v>50000</v>
      </c>
    </row>
    <row r="27" spans="1:12" x14ac:dyDescent="0.2">
      <c r="A27" s="10">
        <v>44634</v>
      </c>
      <c r="B27" s="11" t="s">
        <v>57</v>
      </c>
      <c r="C27" s="11" t="b">
        <v>1</v>
      </c>
      <c r="D27" s="11" t="b">
        <v>1</v>
      </c>
      <c r="E27" s="11" t="s">
        <v>60</v>
      </c>
      <c r="F27" s="29"/>
      <c r="G27" s="30"/>
      <c r="H27">
        <v>1000</v>
      </c>
      <c r="I27" s="24">
        <v>50000</v>
      </c>
    </row>
    <row r="28" spans="1:12" x14ac:dyDescent="0.2">
      <c r="A28" s="10">
        <v>44634</v>
      </c>
      <c r="B28" s="11" t="s">
        <v>58</v>
      </c>
      <c r="C28" s="11" t="b">
        <v>1</v>
      </c>
      <c r="D28" s="11" t="b">
        <v>1</v>
      </c>
      <c r="E28" s="11" t="s">
        <v>62</v>
      </c>
      <c r="F28" s="29"/>
      <c r="G28" s="30"/>
      <c r="H28">
        <v>1000</v>
      </c>
      <c r="I28" s="24">
        <v>50000</v>
      </c>
      <c r="K28" s="22">
        <v>4000000000</v>
      </c>
    </row>
    <row r="29" spans="1:12" x14ac:dyDescent="0.2">
      <c r="A29" s="10">
        <v>44635</v>
      </c>
      <c r="B29" s="11" t="s">
        <v>59</v>
      </c>
      <c r="C29" s="11" t="b">
        <v>1</v>
      </c>
      <c r="D29" s="11" t="b">
        <v>1</v>
      </c>
      <c r="E29" s="11" t="s">
        <v>66</v>
      </c>
      <c r="F29" s="29"/>
      <c r="G29" s="30"/>
      <c r="H29">
        <v>1000</v>
      </c>
      <c r="I29" s="24">
        <v>50000</v>
      </c>
      <c r="K29">
        <f>(H30*I30)</f>
        <v>50000000</v>
      </c>
    </row>
    <row r="30" spans="1:12" ht="17" thickBot="1" x14ac:dyDescent="0.25">
      <c r="A30" s="12">
        <v>44636</v>
      </c>
      <c r="B30" s="13" t="s">
        <v>63</v>
      </c>
      <c r="C30" s="13" t="b">
        <v>1</v>
      </c>
      <c r="D30" s="13" t="b">
        <v>1</v>
      </c>
      <c r="E30" s="13" t="s">
        <v>67</v>
      </c>
      <c r="F30" s="29"/>
      <c r="G30" s="30"/>
      <c r="H30">
        <v>1000</v>
      </c>
      <c r="I30" s="24">
        <v>50000</v>
      </c>
      <c r="K30" s="23">
        <f>K28/K29</f>
        <v>80</v>
      </c>
    </row>
    <row r="31" spans="1:12" x14ac:dyDescent="0.2">
      <c r="A31" s="20">
        <v>44637</v>
      </c>
      <c r="B31" s="21" t="s">
        <v>64</v>
      </c>
      <c r="C31" s="21" t="b">
        <v>1</v>
      </c>
      <c r="D31" s="21" t="b">
        <v>0</v>
      </c>
      <c r="E31" s="21" t="s">
        <v>70</v>
      </c>
      <c r="F31" s="29"/>
      <c r="G31" s="30"/>
      <c r="H31" s="22">
        <f>SUM(H22:H30)*SUM(I22:I30)</f>
        <v>4050000000</v>
      </c>
    </row>
    <row r="32" spans="1:12" x14ac:dyDescent="0.2">
      <c r="A32" s="19">
        <v>44638</v>
      </c>
      <c r="B32" s="11" t="s">
        <v>65</v>
      </c>
      <c r="C32" s="21" t="b">
        <v>1</v>
      </c>
      <c r="D32" s="11" t="b">
        <v>0</v>
      </c>
      <c r="E32" s="11" t="s">
        <v>71</v>
      </c>
      <c r="F32" s="29"/>
      <c r="G32" s="30"/>
      <c r="H32" s="7" t="e">
        <f>H31/SUM(G22)</f>
        <v>#DIV/0!</v>
      </c>
    </row>
    <row r="33" spans="1:7" x14ac:dyDescent="0.2">
      <c r="A33" s="19">
        <v>44638</v>
      </c>
      <c r="B33" s="11" t="s">
        <v>68</v>
      </c>
      <c r="C33" s="21" t="b">
        <v>1</v>
      </c>
      <c r="D33" s="11" t="b">
        <v>0</v>
      </c>
      <c r="E33" s="11" t="s">
        <v>72</v>
      </c>
      <c r="F33" s="29"/>
      <c r="G33" s="30"/>
    </row>
    <row r="34" spans="1:7" x14ac:dyDescent="0.2">
      <c r="A34" s="1"/>
      <c r="B34" s="1"/>
      <c r="C34" s="1" t="b">
        <v>0</v>
      </c>
      <c r="D34" s="1" t="b">
        <v>0</v>
      </c>
      <c r="E34" s="1"/>
    </row>
    <row r="35" spans="1:7" x14ac:dyDescent="0.2">
      <c r="A35" s="1"/>
      <c r="B35" s="1"/>
      <c r="C35" s="1" t="b">
        <v>0</v>
      </c>
      <c r="D35" s="1" t="b">
        <v>0</v>
      </c>
      <c r="E35" s="1"/>
    </row>
    <row r="36" spans="1:7" x14ac:dyDescent="0.2">
      <c r="A36" s="1"/>
      <c r="B36" s="1"/>
      <c r="C36" s="1" t="b">
        <v>0</v>
      </c>
      <c r="D36" s="1" t="b">
        <v>0</v>
      </c>
      <c r="E36" s="1"/>
    </row>
    <row r="37" spans="1:7" x14ac:dyDescent="0.2">
      <c r="A37" s="1"/>
      <c r="B37" s="1"/>
      <c r="C37" s="1" t="b">
        <v>0</v>
      </c>
      <c r="D37" s="1" t="b">
        <v>0</v>
      </c>
      <c r="E37" s="1"/>
    </row>
    <row r="38" spans="1:7" x14ac:dyDescent="0.2">
      <c r="A38" s="1"/>
      <c r="B38" s="1"/>
      <c r="C38" s="1" t="b">
        <v>0</v>
      </c>
      <c r="D38" s="1" t="b">
        <v>0</v>
      </c>
      <c r="E38" s="1"/>
    </row>
    <row r="39" spans="1:7" x14ac:dyDescent="0.2">
      <c r="A39" s="1"/>
      <c r="B39" s="1"/>
      <c r="C39" s="1" t="b">
        <v>0</v>
      </c>
      <c r="D39" s="1" t="b">
        <v>0</v>
      </c>
      <c r="E39" s="1"/>
    </row>
    <row r="40" spans="1:7" x14ac:dyDescent="0.2">
      <c r="A40" s="1"/>
      <c r="B40" s="1"/>
      <c r="C40" s="1" t="b">
        <v>0</v>
      </c>
      <c r="D40" s="1" t="b">
        <v>0</v>
      </c>
      <c r="E40" s="1"/>
    </row>
    <row r="41" spans="1:7" x14ac:dyDescent="0.2">
      <c r="A41" s="1"/>
      <c r="B41" s="1"/>
      <c r="C41" s="1" t="b">
        <v>0</v>
      </c>
      <c r="D41" s="1" t="b">
        <v>0</v>
      </c>
      <c r="E41" s="1"/>
    </row>
  </sheetData>
  <mergeCells count="3">
    <mergeCell ref="F2:F21"/>
    <mergeCell ref="G2:G21"/>
    <mergeCell ref="F22:G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2022-02-09T14:10:02Z</dcterms:created>
  <dcterms:modified xsi:type="dcterms:W3CDTF">2022-07-19T18:21:06Z</dcterms:modified>
</cp:coreProperties>
</file>