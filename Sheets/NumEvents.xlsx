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F8ADF3D4-EE90-F642-8D70-1C1CB67E3A7D}" xr6:coauthVersionLast="47" xr6:coauthVersionMax="47" xr10:uidLastSave="{00000000-0000-0000-0000-000000000000}"/>
  <bookViews>
    <workbookView xWindow="380" yWindow="500" windowWidth="28040" windowHeight="16940" xr2:uid="{492A83FB-8B93-8943-B2AC-D646C2F6E4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  <c r="E9" i="1"/>
  <c r="E8" i="1"/>
  <c r="D9" i="1"/>
  <c r="D8" i="1"/>
  <c r="D3" i="1"/>
  <c r="D4" i="1"/>
  <c r="D5" i="1"/>
  <c r="D2" i="1"/>
</calcChain>
</file>

<file path=xl/sharedStrings.xml><?xml version="1.0" encoding="utf-8"?>
<sst xmlns="http://schemas.openxmlformats.org/spreadsheetml/2006/main" count="13" uniqueCount="13">
  <si>
    <t>Dataset</t>
  </si>
  <si>
    <t>Run-1a</t>
  </si>
  <si>
    <t>Run-1b</t>
  </si>
  <si>
    <t>Run-1c</t>
  </si>
  <si>
    <t>Run-1d</t>
  </si>
  <si>
    <t>Q tracks</t>
  </si>
  <si>
    <t>Q vertices</t>
  </si>
  <si>
    <t>all decays</t>
  </si>
  <si>
    <t xml:space="preserve">truth </t>
  </si>
  <si>
    <t>reco</t>
  </si>
  <si>
    <t>Cuts</t>
  </si>
  <si>
    <t>Raw (Q)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</si>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</sst>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2AE8-602F-2744-9AC9-9E615196E4BE}">
  <dimension ref="A1:E10"/>
  <sheetViews>
    <sheetView tabSelected="1" zoomScale="304" zoomScaleNormal="304" workbookViewId="0">
      <selection activeCell="D9" sqref="D8:D9"/>
    </sheetView>
  </sheetViews>
  <sheetFormatPr baseColWidth="10" defaultRowHeight="16" x14ac:dyDescent="0.2"/>
  <cols>
    <col min="4" max="4" width="21.5" bestFit="1" customWidth="1"/>
  </cols>
  <sheetData>
    <row r="1" spans="1:5" x14ac:dyDescent="0.2">
      <c r="A1" t="s">
        <v>0</v>
      </c>
      <c r="B1" t="s">
        <v>5</v>
      </c>
      <c r="C1" t="s">
        <v>6</v>
      </c>
    </row>
    <row r="2" spans="1:5" x14ac:dyDescent="0.2">
      <c r="A2" t="s">
        <v>1</v>
      </c>
      <c r="B2" s="1">
        <v>35407223</v>
      </c>
      <c r="C2" s="1">
        <v>18051105</v>
      </c>
      <c r="D2" s="2">
        <f>(C2/B2)*100</f>
        <v>50.981419808043128</v>
      </c>
    </row>
    <row r="3" spans="1:5" x14ac:dyDescent="0.2">
      <c r="A3" t="s">
        <v>2</v>
      </c>
      <c r="B3" s="1">
        <v>48638078</v>
      </c>
      <c r="C3" s="1">
        <v>24930686</v>
      </c>
      <c r="D3" s="2">
        <f t="shared" ref="D3:D5" si="0">(C3/B3)*100</f>
        <v>51.257547635825574</v>
      </c>
    </row>
    <row r="4" spans="1:5" x14ac:dyDescent="0.2">
      <c r="A4" t="s">
        <v>3</v>
      </c>
      <c r="B4" s="1">
        <v>72825106</v>
      </c>
      <c r="C4" s="1">
        <v>37113424</v>
      </c>
      <c r="D4" s="2">
        <f t="shared" si="0"/>
        <v>50.962402993275425</v>
      </c>
    </row>
    <row r="5" spans="1:5" x14ac:dyDescent="0.2">
      <c r="A5" t="s">
        <v>4</v>
      </c>
      <c r="B5" s="1">
        <v>141157399</v>
      </c>
      <c r="C5" s="1">
        <v>72182035</v>
      </c>
      <c r="D5" s="2">
        <f t="shared" si="0"/>
        <v>51.135849421538296</v>
      </c>
    </row>
    <row r="6" spans="1:5" x14ac:dyDescent="0.2">
      <c r="B6" t="s">
        <v>11</v>
      </c>
      <c r="C6" t="s">
        <v>10</v>
      </c>
      <c r="D6" t="s">
        <v>12</v>
      </c>
    </row>
    <row r="7" spans="1:5" x14ac:dyDescent="0.2">
      <c r="A7" t="s">
        <v>7</v>
      </c>
      <c r="B7" s="1">
        <v>70600000</v>
      </c>
      <c r="C7" s="1">
        <v>19576518</v>
      </c>
      <c r="D7" s="1">
        <f>B7/50000</f>
        <v>1412</v>
      </c>
      <c r="E7" s="1"/>
    </row>
    <row r="8" spans="1:5" x14ac:dyDescent="0.2">
      <c r="A8" t="s">
        <v>8</v>
      </c>
      <c r="B8" s="1">
        <v>32885451</v>
      </c>
      <c r="C8" s="1">
        <v>20479321</v>
      </c>
      <c r="D8" s="1">
        <f>B8/321.81175</f>
        <v>102188.47198711669</v>
      </c>
      <c r="E8" s="1">
        <f>D8*50000</f>
        <v>5109423599.355834</v>
      </c>
    </row>
    <row r="9" spans="1:5" x14ac:dyDescent="0.2">
      <c r="A9" t="s">
        <v>9</v>
      </c>
      <c r="B9" s="1">
        <v>32885451</v>
      </c>
      <c r="C9" s="1">
        <v>20477671</v>
      </c>
      <c r="D9" s="1">
        <f>B9/321.81175</f>
        <v>102188.47198711669</v>
      </c>
      <c r="E9" s="1">
        <f>D9*50000</f>
        <v>5109423599.355834</v>
      </c>
    </row>
    <row r="10" spans="1:5" x14ac:dyDescent="0.2"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2022-06-26T19:34:24Z</dcterms:created>
  <dcterms:modified xsi:type="dcterms:W3CDTF">2022-06-27T15:47:43Z</dcterms:modified>
</cp:coreProperties>
</file>