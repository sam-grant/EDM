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3DFABCEC-C9A1-0241-8D26-03AA867654C3}" xr6:coauthVersionLast="47" xr6:coauthVersionMax="47" xr10:uidLastSave="{00000000-0000-0000-0000-000000000000}"/>
  <bookViews>
    <workbookView xWindow="760" yWindow="1000" windowWidth="27640" windowHeight="16440" xr2:uid="{AB821776-9BAB-1B43-B03B-A2D1A853E7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9" i="1"/>
  <c r="G10" i="1"/>
  <c r="G11" i="1"/>
  <c r="G9" i="1"/>
  <c r="B2" i="1"/>
  <c r="B4" i="1" s="1"/>
  <c r="B3" i="1"/>
</calcChain>
</file>

<file path=xl/sharedStrings.xml><?xml version="1.0" encoding="utf-8"?>
<sst xmlns="http://schemas.openxmlformats.org/spreadsheetml/2006/main" count="19" uniqueCount="15">
  <si>
    <t>Label</t>
  </si>
  <si>
    <t>all decays</t>
  </si>
  <si>
    <t>reco vertices</t>
  </si>
  <si>
    <t>truth vertices</t>
  </si>
  <si>
    <t>chi2ndf</t>
  </si>
  <si>
    <t>phi [rad]</t>
  </si>
  <si>
    <t>A_EDM [mrad]</t>
  </si>
  <si>
    <t>d_EDM</t>
  </si>
  <si>
    <t>value</t>
  </si>
  <si>
    <t>error</t>
  </si>
  <si>
    <t>S12S18</t>
  </si>
  <si>
    <t>delta_lab</t>
  </si>
  <si>
    <t>delta_rest</t>
  </si>
  <si>
    <t>gamma</t>
  </si>
  <si>
    <t>a_mu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</si>
</sst>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6413-B468-2F4B-AB5C-97FECA644935}">
  <dimension ref="A1:H11"/>
  <sheetViews>
    <sheetView tabSelected="1" workbookViewId="0">
      <selection activeCell="C10" sqref="C10"/>
    </sheetView>
  </sheetViews>
  <sheetFormatPr baseColWidth="10" defaultRowHeight="16" x14ac:dyDescent="0.2"/>
  <cols>
    <col min="1" max="1" width="12" bestFit="1" customWidth="1"/>
  </cols>
  <sheetData>
    <row r="1" spans="1:8" x14ac:dyDescent="0.2">
      <c r="A1" t="s">
        <v>14</v>
      </c>
      <c r="B1" s="2">
        <v>1.1659208900000001E-3</v>
      </c>
    </row>
    <row r="2" spans="1:8" x14ac:dyDescent="0.2">
      <c r="A2" t="s">
        <v>13</v>
      </c>
      <c r="B2">
        <f>SQRT(1+(1/B1))</f>
        <v>29.303431969091314</v>
      </c>
    </row>
    <row r="3" spans="1:8" x14ac:dyDescent="0.2">
      <c r="A3" t="s">
        <v>12</v>
      </c>
      <c r="B3">
        <f>0.0495092*1000</f>
        <v>49.5092</v>
      </c>
    </row>
    <row r="4" spans="1:8" x14ac:dyDescent="0.2">
      <c r="A4" t="s">
        <v>11</v>
      </c>
      <c r="B4">
        <f>B3/B2</f>
        <v>1.6895358895920907</v>
      </c>
    </row>
    <row r="7" spans="1:8" x14ac:dyDescent="0.2">
      <c r="A7" t="s">
        <v>10</v>
      </c>
      <c r="C7" s="1" t="s">
        <v>5</v>
      </c>
      <c r="D7" s="1"/>
      <c r="E7" s="1" t="s">
        <v>6</v>
      </c>
      <c r="F7" s="1"/>
      <c r="G7" s="1" t="s">
        <v>7</v>
      </c>
      <c r="H7" s="1"/>
    </row>
    <row r="8" spans="1:8" x14ac:dyDescent="0.2">
      <c r="A8" t="s">
        <v>0</v>
      </c>
      <c r="B8" t="s">
        <v>4</v>
      </c>
      <c r="C8" t="s">
        <v>8</v>
      </c>
      <c r="D8" t="s">
        <v>9</v>
      </c>
      <c r="E8" t="s">
        <v>8</v>
      </c>
      <c r="F8" t="s">
        <v>9</v>
      </c>
      <c r="G8" t="s">
        <v>8</v>
      </c>
      <c r="H8" t="s">
        <v>9</v>
      </c>
    </row>
    <row r="9" spans="1:8" x14ac:dyDescent="0.2">
      <c r="A9" t="s">
        <v>1</v>
      </c>
      <c r="B9">
        <v>1.56911</v>
      </c>
      <c r="C9">
        <v>0.17269999999999999</v>
      </c>
      <c r="D9">
        <v>4.7750000000000001E-4</v>
      </c>
      <c r="E9">
        <v>0.23042399999999999</v>
      </c>
      <c r="F9">
        <v>1.0062000000000001E-3</v>
      </c>
      <c r="G9">
        <f>E9/$B$4</f>
        <v>0.13638301584444701</v>
      </c>
      <c r="H9">
        <f>F9/$B$4</f>
        <v>5.9554816574090635E-4</v>
      </c>
    </row>
    <row r="10" spans="1:8" x14ac:dyDescent="0.2">
      <c r="A10" t="s">
        <v>3</v>
      </c>
      <c r="B10">
        <v>1.4519500000000001</v>
      </c>
      <c r="C10">
        <v>0.1414</v>
      </c>
      <c r="D10">
        <v>3.1670000000000001E-3</v>
      </c>
      <c r="E10">
        <v>0.11971</v>
      </c>
      <c r="F10">
        <v>4.9021200000000003E-3</v>
      </c>
      <c r="G10">
        <f t="shared" ref="G10:G11" si="0">E10/$B$4</f>
        <v>7.0853777500341775E-2</v>
      </c>
      <c r="H10">
        <f t="shared" ref="H10:H11" si="1">F10/$B$4</f>
        <v>2.9014595251856609E-3</v>
      </c>
    </row>
    <row r="11" spans="1:8" x14ac:dyDescent="0.2">
      <c r="A11" t="s">
        <v>2</v>
      </c>
      <c r="B11">
        <v>1.3871</v>
      </c>
      <c r="C11">
        <v>0.14879999999999999</v>
      </c>
      <c r="D11">
        <v>3.156E-3</v>
      </c>
      <c r="E11">
        <v>0.121832</v>
      </c>
      <c r="F11">
        <v>4.9153900000000004E-3</v>
      </c>
      <c r="G11">
        <f t="shared" si="0"/>
        <v>7.2109743717497607E-2</v>
      </c>
      <c r="H11">
        <f t="shared" si="1"/>
        <v>2.9093137531317767E-3</v>
      </c>
    </row>
  </sheetData>
  <mergeCells count="3">
    <mergeCell ref="C7:D7"/>
    <mergeCell ref="E7:F7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2022-10-07T13:55:51Z</dcterms:created>
  <dcterms:modified xsi:type="dcterms:W3CDTF">2022-10-07T14:11:49Z</dcterms:modified>
</cp:coreProperties>
</file>