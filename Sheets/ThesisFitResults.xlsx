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13_ncr:1_{9185FD56-9C41-F448-B9B5-927BA9F55BB7}" xr6:coauthVersionLast="47" xr6:coauthVersionMax="47" xr10:uidLastSave="{00000000-0000-0000-0000-000000000000}"/>
  <bookViews>
    <workbookView xWindow="860" yWindow="500" windowWidth="25780" windowHeight="17500" xr2:uid="{00000000-000D-0000-FFFF-FFFF00000000}"/>
  </bookViews>
  <sheets>
    <sheet name="UpdatedAcceptance2" sheetId="6" r:id="rId1"/>
    <sheet name="UpdatedAcceptance1" sheetId="5" r:id="rId2"/>
    <sheet name="ThesisFitResults" sheetId="1" r:id="rId3"/>
    <sheet name="ChangingStats" sheetId="4" r:id="rId4"/>
    <sheet name="UpdatedAcceptance" sheetId="2" r:id="rId5"/>
    <sheet name="Testing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31" i="5" l="1"/>
  <c r="D33" i="5"/>
  <c r="M32" i="1"/>
  <c r="D28" i="1"/>
  <c r="D29" i="1"/>
  <c r="E32" i="1"/>
  <c r="C32" i="1"/>
  <c r="D32" i="1" l="1"/>
  <c r="C30" i="1"/>
  <c r="H30" i="1"/>
  <c r="C32" i="2"/>
  <c r="C31" i="2"/>
  <c r="C30" i="2"/>
  <c r="C29" i="2"/>
  <c r="Q238" i="4"/>
  <c r="Q230" i="4"/>
  <c r="Q222" i="4"/>
  <c r="Q214" i="4"/>
  <c r="Q204" i="4"/>
  <c r="Q196" i="4"/>
  <c r="Q188" i="4"/>
  <c r="Q180" i="4"/>
  <c r="Q170" i="4"/>
  <c r="Q162" i="4"/>
  <c r="Q154" i="4"/>
  <c r="Q146" i="4"/>
  <c r="Q136" i="4"/>
  <c r="Q128" i="4"/>
  <c r="Q120" i="4"/>
  <c r="Q112" i="4"/>
  <c r="Q102" i="4"/>
  <c r="Q94" i="4"/>
  <c r="Q86" i="4"/>
  <c r="Q78" i="4"/>
  <c r="Q68" i="4"/>
  <c r="Q60" i="4"/>
  <c r="Q52" i="4"/>
  <c r="Q44" i="4"/>
  <c r="Q34" i="4"/>
  <c r="Q26" i="4"/>
  <c r="Q18" i="4"/>
  <c r="Q10" i="4"/>
  <c r="P94" i="4"/>
  <c r="P188" i="4"/>
  <c r="P238" i="4"/>
  <c r="P230" i="4"/>
  <c r="O188" i="4"/>
  <c r="O238" i="4"/>
  <c r="O154" i="4"/>
  <c r="P26" i="4"/>
  <c r="P18" i="4"/>
  <c r="P34" i="4"/>
  <c r="P44" i="4"/>
  <c r="P52" i="4"/>
  <c r="P60" i="4"/>
  <c r="P68" i="4"/>
  <c r="P78" i="4"/>
  <c r="P86" i="4"/>
  <c r="P102" i="4"/>
  <c r="P112" i="4"/>
  <c r="P120" i="4"/>
  <c r="P128" i="4"/>
  <c r="P136" i="4"/>
  <c r="P146" i="4"/>
  <c r="P154" i="4"/>
  <c r="P162" i="4"/>
  <c r="P170" i="4"/>
  <c r="P180" i="4"/>
  <c r="P196" i="4"/>
  <c r="P214" i="4"/>
  <c r="P204" i="4"/>
  <c r="P222" i="4"/>
  <c r="O10" i="4"/>
  <c r="O18" i="4"/>
  <c r="O26" i="4"/>
  <c r="O34" i="4"/>
  <c r="O44" i="4"/>
  <c r="O52" i="4"/>
  <c r="O60" i="4"/>
  <c r="O68" i="4"/>
  <c r="O78" i="4"/>
  <c r="O86" i="4"/>
  <c r="O94" i="4"/>
  <c r="O102" i="4"/>
  <c r="O112" i="4"/>
  <c r="O120" i="4"/>
  <c r="O128" i="4"/>
  <c r="O136" i="4"/>
  <c r="O146" i="4"/>
  <c r="O162" i="4"/>
  <c r="O170" i="4"/>
  <c r="O180" i="4"/>
  <c r="O196" i="4"/>
  <c r="O204" i="4"/>
  <c r="O214" i="4"/>
  <c r="O222" i="4"/>
  <c r="O230" i="4"/>
  <c r="P24" i="3"/>
  <c r="O24" i="3"/>
  <c r="N4" i="1"/>
</calcChain>
</file>

<file path=xl/sharedStrings.xml><?xml version="1.0" encoding="utf-8"?>
<sst xmlns="http://schemas.openxmlformats.org/spreadsheetml/2006/main" count="1141" uniqueCount="32">
  <si>
    <t>Run-1a</t>
  </si>
  <si>
    <t xml:space="preserve"> delta_prime</t>
  </si>
  <si>
    <t xml:space="preserve"> </t>
  </si>
  <si>
    <t xml:space="preserve"> dMu [ecm]</t>
  </si>
  <si>
    <t>Station</t>
  </si>
  <si>
    <t xml:space="preserve"> value</t>
  </si>
  <si>
    <t xml:space="preserve"> fit_error</t>
  </si>
  <si>
    <t xml:space="preserve"> acc_error</t>
  </si>
  <si>
    <t xml:space="preserve"> align_error</t>
  </si>
  <si>
    <t xml:space="preserve"> Br_error</t>
  </si>
  <si>
    <t xml:space="preserve"> tot_error</t>
  </si>
  <si>
    <t>S12</t>
  </si>
  <si>
    <t>S18</t>
  </si>
  <si>
    <t>S12S18</t>
  </si>
  <si>
    <t>Run-1b</t>
  </si>
  <si>
    <t>Run-1c</t>
  </si>
  <si>
    <t>Run-1d</t>
  </si>
  <si>
    <t>Value</t>
  </si>
  <si>
    <t>fit_error</t>
  </si>
  <si>
    <t>acc_error</t>
  </si>
  <si>
    <t>align_error</t>
  </si>
  <si>
    <t>Br_error</t>
  </si>
  <si>
    <t>tot_error</t>
  </si>
  <si>
    <t xml:space="preserve">delta </t>
  </si>
  <si>
    <t>dMu</t>
  </si>
  <si>
    <t xml:space="preserve"> 2.65124e-19	</t>
  </si>
  <si>
    <t>Qual</t>
  </si>
  <si>
    <t>After cuts</t>
  </si>
  <si>
    <t>Quakl</t>
  </si>
  <si>
    <t>raw = 10671380</t>
  </si>
  <si>
    <t>cuts = 4603005</t>
  </si>
  <si>
    <t>Tilt [mrad]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</si>
</sst>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0" fillId="33" borderId="0" xfId="0" applyFill="1"/>
    <xf numFmtId="0" fontId="18" fillId="0" borderId="0" xfId="0" applyFont="1"/>
    <xf numFmtId="11" fontId="18" fillId="0" borderId="0" xfId="0" applyNumberFormat="1" applyFont="1"/>
    <xf numFmtId="0" fontId="18" fillId="33" borderId="0" xfId="0" applyFont="1" applyFill="1"/>
    <xf numFmtId="0" fontId="18" fillId="0" borderId="0" xfId="0" applyFont="1" applyFill="1"/>
    <xf numFmtId="0" fontId="0" fillId="0" borderId="0" xfId="0" applyAlignment="1">
      <alignment horizontal="center"/>
    </xf>
    <xf numFmtId="0" fontId="0" fillId="0" borderId="0" xfId="0" applyFill="1"/>
    <xf numFmtId="0" fontId="16" fillId="0" borderId="0" xfId="0" applyFont="1"/>
    <xf numFmtId="0" fontId="16" fillId="33" borderId="0" xfId="0" applyFont="1" applyFill="1"/>
    <xf numFmtId="0" fontId="16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B75E2-717F-A144-8F2D-53B72C32C006}">
  <dimension ref="A1:M24"/>
  <sheetViews>
    <sheetView tabSelected="1" workbookViewId="0">
      <selection activeCell="J28" sqref="J28"/>
    </sheetView>
  </sheetViews>
  <sheetFormatPr baseColWidth="10" defaultRowHeight="16" x14ac:dyDescent="0.2"/>
  <cols>
    <col min="2" max="2" width="10" bestFit="1" customWidth="1"/>
  </cols>
  <sheetData>
    <row r="1" spans="1:13" x14ac:dyDescent="0.2">
      <c r="A1" t="s">
        <v>0</v>
      </c>
    </row>
    <row r="2" spans="1:13" x14ac:dyDescent="0.2">
      <c r="B2" t="s">
        <v>31</v>
      </c>
      <c r="C2" t="s">
        <v>2</v>
      </c>
      <c r="D2" t="s">
        <v>2</v>
      </c>
      <c r="E2" t="s">
        <v>2</v>
      </c>
      <c r="F2" t="s">
        <v>2</v>
      </c>
      <c r="G2" t="s">
        <v>3</v>
      </c>
      <c r="H2" t="s">
        <v>2</v>
      </c>
    </row>
    <row r="3" spans="1:13" x14ac:dyDescent="0.2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</row>
    <row r="4" spans="1:13" x14ac:dyDescent="0.2">
      <c r="A4" t="s">
        <v>11</v>
      </c>
      <c r="B4">
        <v>0.41510799999999998</v>
      </c>
      <c r="C4">
        <v>9.6168000000000003E-2</v>
      </c>
      <c r="D4">
        <v>6.2399999999999999E-4</v>
      </c>
      <c r="E4">
        <v>2.5975000000000002E-2</v>
      </c>
      <c r="F4">
        <v>7.2979999999999998E-3</v>
      </c>
      <c r="G4">
        <v>9.9883E-2</v>
      </c>
      <c r="H4" s="1">
        <v>1.25427E-18</v>
      </c>
      <c r="I4" s="1">
        <v>3.0699E-19</v>
      </c>
      <c r="J4" s="1">
        <v>1.9905E-21</v>
      </c>
      <c r="K4" s="1">
        <v>8.2916800000000006E-20</v>
      </c>
      <c r="L4" s="1">
        <v>2.32968E-20</v>
      </c>
      <c r="M4" s="1">
        <v>3.18849E-19</v>
      </c>
    </row>
    <row r="5" spans="1:13" x14ac:dyDescent="0.2">
      <c r="A5" t="s">
        <v>12</v>
      </c>
      <c r="B5">
        <v>7.9134999999999997E-2</v>
      </c>
      <c r="C5">
        <v>0.10193099999999999</v>
      </c>
      <c r="D5">
        <v>3.9599999999999998E-4</v>
      </c>
      <c r="E5">
        <v>-2.0739999999999999E-3</v>
      </c>
      <c r="F5">
        <v>7.2979999999999998E-3</v>
      </c>
      <c r="G5">
        <v>0.102214</v>
      </c>
      <c r="H5" s="1">
        <v>1.81763E-19</v>
      </c>
      <c r="I5" s="1">
        <v>3.2538600000000001E-19</v>
      </c>
      <c r="J5" s="1">
        <v>1.2648800000000001E-21</v>
      </c>
      <c r="K5" s="1">
        <v>-6.6199600000000002E-21</v>
      </c>
      <c r="L5" s="1">
        <v>2.32968E-20</v>
      </c>
      <c r="M5" s="1">
        <v>3.2628799999999998E-19</v>
      </c>
    </row>
    <row r="6" spans="1:13" x14ac:dyDescent="0.2">
      <c r="A6" t="s">
        <v>13</v>
      </c>
      <c r="B6">
        <v>0.25754500000000002</v>
      </c>
      <c r="C6">
        <v>6.9960999999999995E-2</v>
      </c>
      <c r="D6">
        <v>3.9199999999999999E-4</v>
      </c>
      <c r="E6">
        <v>3.6879999999999999E-3</v>
      </c>
      <c r="F6">
        <v>7.2979999999999998E-3</v>
      </c>
      <c r="G6">
        <v>7.0438000000000001E-2</v>
      </c>
      <c r="H6" s="1">
        <v>7.51286E-19</v>
      </c>
      <c r="I6" s="1">
        <v>2.2332999999999999E-19</v>
      </c>
      <c r="J6" s="1">
        <v>1.25128E-21</v>
      </c>
      <c r="K6" s="1">
        <v>1.17729E-20</v>
      </c>
      <c r="L6" s="1">
        <v>2.32968E-20</v>
      </c>
      <c r="M6" s="1">
        <v>2.2485299999999998E-19</v>
      </c>
    </row>
    <row r="7" spans="1:13" x14ac:dyDescent="0.2">
      <c r="A7" t="s">
        <v>14</v>
      </c>
    </row>
    <row r="8" spans="1:13" x14ac:dyDescent="0.2">
      <c r="B8" t="s">
        <v>31</v>
      </c>
      <c r="C8" t="s">
        <v>2</v>
      </c>
      <c r="D8" t="s">
        <v>2</v>
      </c>
      <c r="E8" t="s">
        <v>2</v>
      </c>
      <c r="F8" t="s">
        <v>2</v>
      </c>
      <c r="G8" t="s">
        <v>3</v>
      </c>
      <c r="H8" t="s">
        <v>2</v>
      </c>
    </row>
    <row r="9" spans="1:13" x14ac:dyDescent="0.2">
      <c r="A9" t="s">
        <v>4</v>
      </c>
      <c r="B9" t="s">
        <v>5</v>
      </c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5</v>
      </c>
      <c r="I9" t="s">
        <v>6</v>
      </c>
      <c r="J9" t="s">
        <v>7</v>
      </c>
      <c r="K9" t="s">
        <v>8</v>
      </c>
      <c r="L9" t="s">
        <v>9</v>
      </c>
      <c r="M9" t="s">
        <v>10</v>
      </c>
    </row>
    <row r="10" spans="1:13" x14ac:dyDescent="0.2">
      <c r="A10" t="s">
        <v>11</v>
      </c>
      <c r="B10">
        <v>0.25175599999999998</v>
      </c>
      <c r="C10">
        <v>8.2138000000000003E-2</v>
      </c>
      <c r="D10">
        <v>3.9800000000000002E-4</v>
      </c>
      <c r="E10">
        <v>8.4679999999999998E-3</v>
      </c>
      <c r="F10">
        <v>8.1720000000000004E-3</v>
      </c>
      <c r="G10">
        <v>8.2977999999999996E-2</v>
      </c>
      <c r="H10" s="1">
        <v>7.3112800000000001E-19</v>
      </c>
      <c r="I10" s="1">
        <v>2.6220300000000002E-19</v>
      </c>
      <c r="J10" s="1">
        <v>1.27079E-21</v>
      </c>
      <c r="K10" s="1">
        <v>2.7030900000000001E-20</v>
      </c>
      <c r="L10" s="1">
        <v>2.6087E-20</v>
      </c>
      <c r="M10" s="1">
        <v>2.6488399999999999E-19</v>
      </c>
    </row>
    <row r="11" spans="1:13" x14ac:dyDescent="0.2">
      <c r="A11" t="s">
        <v>12</v>
      </c>
      <c r="B11">
        <v>0.229411</v>
      </c>
      <c r="C11">
        <v>8.7156999999999998E-2</v>
      </c>
      <c r="D11">
        <v>4.6000000000000001E-4</v>
      </c>
      <c r="E11">
        <v>3.042E-3</v>
      </c>
      <c r="F11">
        <v>8.1720000000000004E-3</v>
      </c>
      <c r="G11">
        <v>8.7594000000000005E-2</v>
      </c>
      <c r="H11" s="1">
        <v>6.5979899999999995E-19</v>
      </c>
      <c r="I11" s="1">
        <v>2.7822500000000002E-19</v>
      </c>
      <c r="J11" s="1">
        <v>1.46987E-21</v>
      </c>
      <c r="K11" s="1">
        <v>9.7113899999999999E-21</v>
      </c>
      <c r="L11" s="1">
        <v>2.6087E-20</v>
      </c>
      <c r="M11" s="1">
        <v>2.7961800000000001E-19</v>
      </c>
    </row>
    <row r="12" spans="1:13" x14ac:dyDescent="0.2">
      <c r="A12" t="s">
        <v>13</v>
      </c>
      <c r="B12">
        <v>0.240901</v>
      </c>
      <c r="C12">
        <v>5.9784999999999998E-2</v>
      </c>
      <c r="D12">
        <v>3.9599999999999998E-4</v>
      </c>
      <c r="E12">
        <v>2.2039999999999998E-3</v>
      </c>
      <c r="F12">
        <v>8.1720000000000004E-3</v>
      </c>
      <c r="G12">
        <v>6.0381999999999998E-2</v>
      </c>
      <c r="H12" s="1">
        <v>6.9647799999999997E-19</v>
      </c>
      <c r="I12" s="1">
        <v>1.9084600000000001E-19</v>
      </c>
      <c r="J12" s="1">
        <v>1.2644000000000001E-21</v>
      </c>
      <c r="K12" s="1">
        <v>7.0351000000000003E-21</v>
      </c>
      <c r="L12" s="1">
        <v>2.6087E-20</v>
      </c>
      <c r="M12" s="1">
        <v>1.92753E-19</v>
      </c>
    </row>
    <row r="13" spans="1:13" x14ac:dyDescent="0.2">
      <c r="A13" t="s">
        <v>15</v>
      </c>
    </row>
    <row r="14" spans="1:13" x14ac:dyDescent="0.2">
      <c r="B14" t="s">
        <v>31</v>
      </c>
      <c r="C14" t="s">
        <v>2</v>
      </c>
      <c r="D14" t="s">
        <v>2</v>
      </c>
      <c r="E14" t="s">
        <v>2</v>
      </c>
      <c r="F14" t="s">
        <v>2</v>
      </c>
      <c r="G14" t="s">
        <v>3</v>
      </c>
      <c r="H14" t="s">
        <v>2</v>
      </c>
    </row>
    <row r="15" spans="1:13" x14ac:dyDescent="0.2">
      <c r="A15" t="s">
        <v>4</v>
      </c>
      <c r="B15" t="s">
        <v>5</v>
      </c>
      <c r="C15" t="s">
        <v>6</v>
      </c>
      <c r="D15" t="s">
        <v>7</v>
      </c>
      <c r="E15" t="s">
        <v>8</v>
      </c>
      <c r="F15" t="s">
        <v>9</v>
      </c>
      <c r="G15" t="s">
        <v>10</v>
      </c>
      <c r="H15" t="s">
        <v>5</v>
      </c>
      <c r="I15" t="s">
        <v>6</v>
      </c>
      <c r="J15" t="s">
        <v>7</v>
      </c>
      <c r="K15" t="s">
        <v>8</v>
      </c>
      <c r="L15" t="s">
        <v>9</v>
      </c>
      <c r="M15" t="s">
        <v>10</v>
      </c>
    </row>
    <row r="16" spans="1:13" x14ac:dyDescent="0.2">
      <c r="A16" t="s">
        <v>11</v>
      </c>
      <c r="B16">
        <v>0.50026499999999996</v>
      </c>
      <c r="C16">
        <v>6.7383999999999999E-2</v>
      </c>
      <c r="D16">
        <v>7.2499999999999995E-4</v>
      </c>
      <c r="E16">
        <v>2.1555999999999999E-2</v>
      </c>
      <c r="F16">
        <v>8.2430000000000003E-3</v>
      </c>
      <c r="G16">
        <v>7.1231000000000003E-2</v>
      </c>
      <c r="H16" s="1">
        <v>1.50246E-18</v>
      </c>
      <c r="I16" s="1">
        <v>2.15106E-19</v>
      </c>
      <c r="J16" s="1">
        <v>2.31581E-21</v>
      </c>
      <c r="K16" s="1">
        <v>6.8812900000000002E-20</v>
      </c>
      <c r="L16" s="1">
        <v>2.6313399999999999E-20</v>
      </c>
      <c r="M16" s="1">
        <v>2.27384E-19</v>
      </c>
    </row>
    <row r="17" spans="1:13" x14ac:dyDescent="0.2">
      <c r="A17" t="s">
        <v>12</v>
      </c>
      <c r="B17">
        <v>0.40129900000000002</v>
      </c>
      <c r="C17">
        <v>7.2138999999999995E-2</v>
      </c>
      <c r="D17">
        <v>7.2199999999999999E-4</v>
      </c>
      <c r="E17">
        <v>-6.8399999999999997E-3</v>
      </c>
      <c r="F17">
        <v>8.2430000000000003E-3</v>
      </c>
      <c r="G17">
        <v>7.2932999999999998E-2</v>
      </c>
      <c r="H17" s="1">
        <v>1.1865399999999999E-18</v>
      </c>
      <c r="I17" s="1">
        <v>2.3028300000000001E-19</v>
      </c>
      <c r="J17" s="1">
        <v>2.3053200000000002E-21</v>
      </c>
      <c r="K17" s="1">
        <v>-2.1834499999999999E-20</v>
      </c>
      <c r="L17" s="1">
        <v>2.6313399999999999E-20</v>
      </c>
      <c r="M17" s="1">
        <v>2.3281899999999999E-19</v>
      </c>
    </row>
    <row r="18" spans="1:13" x14ac:dyDescent="0.2">
      <c r="A18" t="s">
        <v>13</v>
      </c>
      <c r="B18">
        <v>0.453654</v>
      </c>
      <c r="C18">
        <v>4.9251999999999997E-2</v>
      </c>
      <c r="D18">
        <v>6.8499999999999995E-4</v>
      </c>
      <c r="E18">
        <v>3.7299999999999998E-3</v>
      </c>
      <c r="F18">
        <v>8.2430000000000003E-3</v>
      </c>
      <c r="G18">
        <v>5.0081000000000001E-2</v>
      </c>
      <c r="H18" s="1">
        <v>1.35366E-18</v>
      </c>
      <c r="I18" s="1">
        <v>1.5722300000000001E-19</v>
      </c>
      <c r="J18" s="1">
        <v>2.1873599999999999E-21</v>
      </c>
      <c r="K18" s="1">
        <v>1.1906499999999999E-20</v>
      </c>
      <c r="L18" s="1">
        <v>2.6313399999999999E-20</v>
      </c>
      <c r="M18" s="1">
        <v>1.59869E-19</v>
      </c>
    </row>
    <row r="20" spans="1:13" x14ac:dyDescent="0.2">
      <c r="A20" s="9" t="s">
        <v>16</v>
      </c>
      <c r="B20" s="9" t="s">
        <v>31</v>
      </c>
      <c r="C20" t="s">
        <v>2</v>
      </c>
      <c r="D20" t="s">
        <v>2</v>
      </c>
      <c r="E20" t="s">
        <v>2</v>
      </c>
      <c r="F20" t="s">
        <v>2</v>
      </c>
      <c r="H20" t="s">
        <v>2</v>
      </c>
    </row>
    <row r="21" spans="1:13" x14ac:dyDescent="0.2">
      <c r="A21" s="9" t="s">
        <v>4</v>
      </c>
      <c r="B21" s="9" t="s">
        <v>5</v>
      </c>
      <c r="C21" s="9" t="s">
        <v>6</v>
      </c>
      <c r="D21" s="9" t="s">
        <v>7</v>
      </c>
      <c r="E21" s="10" t="s">
        <v>8</v>
      </c>
      <c r="F21" s="9" t="s">
        <v>9</v>
      </c>
      <c r="G21" s="9" t="s">
        <v>10</v>
      </c>
      <c r="H21" t="s">
        <v>5</v>
      </c>
      <c r="I21" t="s">
        <v>6</v>
      </c>
      <c r="J21" t="s">
        <v>7</v>
      </c>
      <c r="K21" t="s">
        <v>8</v>
      </c>
      <c r="L21" t="s">
        <v>9</v>
      </c>
      <c r="M21" t="s">
        <v>10</v>
      </c>
    </row>
    <row r="22" spans="1:13" x14ac:dyDescent="0.2">
      <c r="A22" s="9" t="s">
        <v>11</v>
      </c>
      <c r="B22">
        <v>0.34543200000000002</v>
      </c>
      <c r="C22">
        <v>5.9129000000000001E-2</v>
      </c>
      <c r="D22">
        <v>5.3600000000000002E-4</v>
      </c>
      <c r="E22" s="2">
        <v>1.3145E-2</v>
      </c>
      <c r="F22">
        <v>9.1450000000000004E-3</v>
      </c>
      <c r="G22">
        <v>6.1261999999999997E-2</v>
      </c>
      <c r="H22" s="1">
        <v>9.9326700000000007E-19</v>
      </c>
      <c r="I22" s="1">
        <v>1.88754E-19</v>
      </c>
      <c r="J22" s="1">
        <v>1.7101500000000001E-21</v>
      </c>
      <c r="K22" s="1">
        <v>4.19604E-20</v>
      </c>
      <c r="L22" s="1">
        <v>2.91939E-20</v>
      </c>
      <c r="M22" s="1">
        <v>1.9556099999999999E-19</v>
      </c>
    </row>
    <row r="23" spans="1:13" x14ac:dyDescent="0.2">
      <c r="A23" s="9" t="s">
        <v>12</v>
      </c>
      <c r="B23">
        <v>0.28788000000000002</v>
      </c>
      <c r="C23">
        <v>6.3324000000000005E-2</v>
      </c>
      <c r="D23">
        <v>5.7600000000000001E-4</v>
      </c>
      <c r="E23" s="2">
        <v>6.3470000000000002E-3</v>
      </c>
      <c r="F23">
        <v>9.1450000000000004E-3</v>
      </c>
      <c r="G23">
        <v>6.4297999999999994E-2</v>
      </c>
      <c r="H23" s="1">
        <v>8.0954799999999997E-19</v>
      </c>
      <c r="I23" s="1">
        <v>2.0214400000000001E-19</v>
      </c>
      <c r="J23" s="1">
        <v>1.83759E-21</v>
      </c>
      <c r="K23" s="1">
        <v>2.02602E-20</v>
      </c>
      <c r="L23" s="1">
        <v>2.91939E-20</v>
      </c>
      <c r="M23" s="1">
        <v>2.0525200000000001E-19</v>
      </c>
    </row>
    <row r="24" spans="1:13" x14ac:dyDescent="0.2">
      <c r="A24" s="9" t="s">
        <v>13</v>
      </c>
      <c r="B24">
        <v>0.318054</v>
      </c>
      <c r="C24">
        <v>4.3226000000000001E-2</v>
      </c>
      <c r="D24">
        <v>5.0000000000000001E-4</v>
      </c>
      <c r="E24" s="2">
        <v>4.3150000000000003E-3</v>
      </c>
      <c r="F24">
        <v>9.1450000000000004E-3</v>
      </c>
      <c r="G24">
        <v>4.4395999999999998E-2</v>
      </c>
      <c r="H24" s="1">
        <v>9.0586999999999994E-19</v>
      </c>
      <c r="I24" s="1">
        <v>1.37986E-19</v>
      </c>
      <c r="J24" s="1">
        <v>1.59588E-21</v>
      </c>
      <c r="K24" s="1" t="s">
        <v>2</v>
      </c>
      <c r="L24" s="1">
        <v>2.91939E-20</v>
      </c>
      <c r="M24" s="1">
        <v>1.4172099999999999E-19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EFA7-60CA-0F48-9B06-175DAFEF0B41}">
  <dimension ref="A1:W33"/>
  <sheetViews>
    <sheetView topLeftCell="A2" zoomScale="98" workbookViewId="0">
      <selection activeCell="K31" sqref="K31"/>
    </sheetView>
  </sheetViews>
  <sheetFormatPr baseColWidth="10" defaultRowHeight="16" x14ac:dyDescent="0.2"/>
  <cols>
    <col min="2" max="2" width="11.83203125" bestFit="1" customWidth="1"/>
    <col min="14" max="14" width="12.33203125" bestFit="1" customWidth="1"/>
  </cols>
  <sheetData>
    <row r="1" spans="1:23" x14ac:dyDescent="0.2">
      <c r="A1" t="s">
        <v>0</v>
      </c>
    </row>
    <row r="2" spans="1:23" x14ac:dyDescent="0.2">
      <c r="B2" t="s">
        <v>31</v>
      </c>
      <c r="C2" t="s">
        <v>2</v>
      </c>
      <c r="E2" t="s">
        <v>2</v>
      </c>
      <c r="H2" t="s">
        <v>3</v>
      </c>
      <c r="P2" s="7"/>
      <c r="Q2" s="7"/>
      <c r="R2" s="7"/>
      <c r="S2" s="7"/>
      <c r="T2" s="7"/>
      <c r="U2" s="7"/>
      <c r="V2" s="7"/>
      <c r="W2" s="7"/>
    </row>
    <row r="3" spans="1:23" x14ac:dyDescent="0.2">
      <c r="A3" t="s">
        <v>4</v>
      </c>
      <c r="B3" t="s">
        <v>5</v>
      </c>
      <c r="C3" t="s">
        <v>6</v>
      </c>
      <c r="D3" s="2" t="s">
        <v>7</v>
      </c>
      <c r="E3" t="s">
        <v>8</v>
      </c>
      <c r="F3" t="s">
        <v>9</v>
      </c>
      <c r="G3" t="s">
        <v>10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</row>
    <row r="4" spans="1:23" x14ac:dyDescent="0.2">
      <c r="A4" t="s">
        <v>11</v>
      </c>
      <c r="B4">
        <v>0.41510799999999998</v>
      </c>
      <c r="C4">
        <v>9.6168000000000003E-2</v>
      </c>
      <c r="D4" s="2">
        <v>6.2399999999999999E-4</v>
      </c>
      <c r="E4">
        <v>2.4920999999999999E-2</v>
      </c>
      <c r="F4">
        <v>7.2979999999999998E-3</v>
      </c>
      <c r="G4">
        <v>9.9613999999999994E-2</v>
      </c>
      <c r="H4" s="1">
        <v>1.25427E-18</v>
      </c>
      <c r="I4" s="1">
        <v>3.0699E-19</v>
      </c>
      <c r="J4" s="1">
        <v>1.9905E-21</v>
      </c>
      <c r="K4" s="1">
        <v>7.9554099999999994E-20</v>
      </c>
      <c r="L4" s="1">
        <v>2.32968E-20</v>
      </c>
      <c r="M4" s="1">
        <v>3.1799099999999998E-19</v>
      </c>
    </row>
    <row r="5" spans="1:23" x14ac:dyDescent="0.2">
      <c r="A5" t="s">
        <v>12</v>
      </c>
      <c r="B5">
        <v>7.9134999999999997E-2</v>
      </c>
      <c r="C5">
        <v>0.10193099999999999</v>
      </c>
      <c r="D5" s="2">
        <v>3.9599999999999998E-4</v>
      </c>
      <c r="E5">
        <v>-2.0579999999999999E-3</v>
      </c>
      <c r="F5">
        <v>7.2979999999999998E-3</v>
      </c>
      <c r="G5">
        <v>0.102213</v>
      </c>
      <c r="H5" s="1">
        <v>1.81763E-19</v>
      </c>
      <c r="I5" s="1">
        <v>3.2538600000000001E-19</v>
      </c>
      <c r="J5" s="1">
        <v>1.2648800000000001E-21</v>
      </c>
      <c r="K5" s="1">
        <v>-6.5706200000000001E-21</v>
      </c>
      <c r="L5" s="1">
        <v>2.32968E-20</v>
      </c>
      <c r="M5" s="1">
        <v>3.2628699999999999E-19</v>
      </c>
    </row>
    <row r="6" spans="1:23" x14ac:dyDescent="0.2">
      <c r="A6" t="s">
        <v>13</v>
      </c>
      <c r="B6">
        <v>0.25754500000000002</v>
      </c>
      <c r="C6">
        <v>6.9960999999999995E-2</v>
      </c>
      <c r="D6" s="2">
        <v>3.9199999999999999E-4</v>
      </c>
      <c r="E6">
        <v>1.2496E-2</v>
      </c>
      <c r="F6">
        <v>7.2979999999999998E-3</v>
      </c>
      <c r="G6">
        <v>7.1443000000000006E-2</v>
      </c>
      <c r="H6" s="1">
        <v>7.51286E-19</v>
      </c>
      <c r="I6" s="1">
        <v>2.2332999999999999E-19</v>
      </c>
      <c r="J6" s="1">
        <v>1.25128E-21</v>
      </c>
      <c r="K6" s="1">
        <v>3.98904E-20</v>
      </c>
      <c r="L6" s="1">
        <v>2.32968E-20</v>
      </c>
      <c r="M6" s="1">
        <v>2.2806099999999999E-19</v>
      </c>
    </row>
    <row r="7" spans="1:23" x14ac:dyDescent="0.2">
      <c r="D7" s="8"/>
    </row>
    <row r="8" spans="1:23" x14ac:dyDescent="0.2">
      <c r="A8" t="s">
        <v>14</v>
      </c>
      <c r="D8" s="8"/>
    </row>
    <row r="9" spans="1:23" x14ac:dyDescent="0.2">
      <c r="B9" t="s">
        <v>31</v>
      </c>
      <c r="C9" t="s">
        <v>2</v>
      </c>
      <c r="E9" t="s">
        <v>2</v>
      </c>
      <c r="H9" s="8" t="s">
        <v>3</v>
      </c>
    </row>
    <row r="10" spans="1:23" x14ac:dyDescent="0.2">
      <c r="A10" t="s">
        <v>4</v>
      </c>
      <c r="B10" t="s">
        <v>5</v>
      </c>
      <c r="C10" t="s">
        <v>6</v>
      </c>
      <c r="D10" s="2" t="s">
        <v>7</v>
      </c>
      <c r="E10" t="s">
        <v>8</v>
      </c>
      <c r="F10" t="s">
        <v>9</v>
      </c>
      <c r="G10" t="s">
        <v>10</v>
      </c>
      <c r="H10" t="s">
        <v>5</v>
      </c>
      <c r="I10" t="s">
        <v>6</v>
      </c>
      <c r="J10" t="s">
        <v>7</v>
      </c>
      <c r="K10" t="s">
        <v>8</v>
      </c>
      <c r="L10" t="s">
        <v>9</v>
      </c>
      <c r="M10" t="s">
        <v>10</v>
      </c>
    </row>
    <row r="11" spans="1:23" x14ac:dyDescent="0.2">
      <c r="A11" t="s">
        <v>11</v>
      </c>
      <c r="B11">
        <v>0.25175599999999998</v>
      </c>
      <c r="C11">
        <v>8.2138000000000003E-2</v>
      </c>
      <c r="D11" s="2">
        <v>3.9800000000000002E-4</v>
      </c>
      <c r="E11">
        <v>1.2718999999999999E-2</v>
      </c>
      <c r="F11">
        <v>8.1720000000000004E-3</v>
      </c>
      <c r="G11">
        <v>8.3518999999999996E-2</v>
      </c>
      <c r="H11" s="1">
        <v>7.3112800000000001E-19</v>
      </c>
      <c r="I11" s="1">
        <v>2.6220300000000002E-19</v>
      </c>
      <c r="J11" s="1">
        <v>1.27079E-21</v>
      </c>
      <c r="K11" s="1">
        <v>4.0600999999999999E-20</v>
      </c>
      <c r="L11" s="1">
        <v>2.6087E-20</v>
      </c>
      <c r="M11" s="1">
        <v>2.6661000000000002E-19</v>
      </c>
    </row>
    <row r="12" spans="1:23" x14ac:dyDescent="0.2">
      <c r="A12" t="s">
        <v>12</v>
      </c>
      <c r="B12">
        <v>0.229411</v>
      </c>
      <c r="C12">
        <v>8.7156999999999998E-2</v>
      </c>
      <c r="D12" s="2">
        <v>4.6000000000000001E-4</v>
      </c>
      <c r="E12">
        <v>2.1459999999999999E-3</v>
      </c>
      <c r="F12">
        <v>8.1720000000000004E-3</v>
      </c>
      <c r="G12">
        <v>8.7567000000000006E-2</v>
      </c>
      <c r="H12" s="1">
        <v>6.5979899999999995E-19</v>
      </c>
      <c r="I12" s="1">
        <v>2.7822500000000002E-19</v>
      </c>
      <c r="J12" s="1">
        <v>1.46987E-21</v>
      </c>
      <c r="K12" s="1">
        <v>6.8505899999999994E-21</v>
      </c>
      <c r="L12" s="1">
        <v>2.6087E-20</v>
      </c>
      <c r="M12" s="1">
        <v>2.7953300000000001E-19</v>
      </c>
    </row>
    <row r="13" spans="1:23" x14ac:dyDescent="0.2">
      <c r="A13" t="s">
        <v>13</v>
      </c>
      <c r="B13">
        <v>0.240901</v>
      </c>
      <c r="C13">
        <v>5.9784999999999998E-2</v>
      </c>
      <c r="D13" s="2">
        <v>3.9599999999999998E-4</v>
      </c>
      <c r="E13">
        <v>7.7809999999999997E-3</v>
      </c>
      <c r="F13">
        <v>8.1720000000000004E-3</v>
      </c>
      <c r="G13">
        <v>6.0842E-2</v>
      </c>
      <c r="H13" s="1">
        <v>6.9647799999999997E-19</v>
      </c>
      <c r="I13" s="1">
        <v>1.9084600000000001E-19</v>
      </c>
      <c r="J13" s="1">
        <v>1.2644000000000001E-21</v>
      </c>
      <c r="K13" s="1">
        <v>2.48399E-20</v>
      </c>
      <c r="L13" s="1">
        <v>2.6087E-20</v>
      </c>
      <c r="M13" s="1">
        <v>1.9422000000000001E-19</v>
      </c>
    </row>
    <row r="14" spans="1:23" x14ac:dyDescent="0.2">
      <c r="D14" s="8"/>
    </row>
    <row r="15" spans="1:23" x14ac:dyDescent="0.2">
      <c r="A15" t="s">
        <v>15</v>
      </c>
      <c r="D15" s="8"/>
    </row>
    <row r="16" spans="1:23" x14ac:dyDescent="0.2">
      <c r="B16" t="s">
        <v>31</v>
      </c>
      <c r="C16" t="s">
        <v>2</v>
      </c>
      <c r="E16" t="s">
        <v>2</v>
      </c>
      <c r="H16" s="8" t="s">
        <v>3</v>
      </c>
    </row>
    <row r="17" spans="1:13" x14ac:dyDescent="0.2">
      <c r="A17" t="s">
        <v>4</v>
      </c>
      <c r="B17" t="s">
        <v>5</v>
      </c>
      <c r="C17" t="s">
        <v>6</v>
      </c>
      <c r="D17" s="2" t="s">
        <v>7</v>
      </c>
      <c r="E17" t="s">
        <v>8</v>
      </c>
      <c r="F17" t="s">
        <v>9</v>
      </c>
      <c r="G17" t="s">
        <v>10</v>
      </c>
      <c r="H17" t="s">
        <v>5</v>
      </c>
      <c r="I17" t="s">
        <v>6</v>
      </c>
      <c r="J17" t="s">
        <v>7</v>
      </c>
      <c r="K17" t="s">
        <v>8</v>
      </c>
      <c r="L17" t="s">
        <v>9</v>
      </c>
      <c r="M17" t="s">
        <v>10</v>
      </c>
    </row>
    <row r="18" spans="1:13" x14ac:dyDescent="0.2">
      <c r="A18" t="s">
        <v>11</v>
      </c>
      <c r="B18">
        <v>0.50026499999999996</v>
      </c>
      <c r="C18">
        <v>6.7383999999999999E-2</v>
      </c>
      <c r="D18" s="2">
        <v>7.2499999999999995E-4</v>
      </c>
      <c r="E18">
        <v>2.8032000000000001E-2</v>
      </c>
      <c r="F18">
        <v>8.2430000000000003E-3</v>
      </c>
      <c r="G18">
        <v>7.3450000000000001E-2</v>
      </c>
      <c r="H18" s="1">
        <v>1.50246E-18</v>
      </c>
      <c r="I18" s="1">
        <v>2.15106E-19</v>
      </c>
      <c r="J18" s="1">
        <v>2.31581E-21</v>
      </c>
      <c r="K18" s="1">
        <v>8.9483600000000005E-20</v>
      </c>
      <c r="L18" s="1">
        <v>2.6313399999999999E-20</v>
      </c>
      <c r="M18" s="1">
        <v>2.34469E-19</v>
      </c>
    </row>
    <row r="19" spans="1:13" x14ac:dyDescent="0.2">
      <c r="A19" t="s">
        <v>12</v>
      </c>
      <c r="B19">
        <v>0.40129900000000002</v>
      </c>
      <c r="C19">
        <v>7.2138999999999995E-2</v>
      </c>
      <c r="D19" s="2">
        <v>7.2199999999999999E-4</v>
      </c>
      <c r="E19">
        <v>1.3436999999999999E-2</v>
      </c>
      <c r="F19">
        <v>8.2430000000000003E-3</v>
      </c>
      <c r="G19">
        <v>7.3844000000000007E-2</v>
      </c>
      <c r="H19" s="1">
        <v>1.1865399999999999E-18</v>
      </c>
      <c r="I19" s="1">
        <v>2.3028300000000001E-19</v>
      </c>
      <c r="J19" s="1">
        <v>2.3053200000000002E-21</v>
      </c>
      <c r="K19" s="1">
        <v>4.2893700000000002E-20</v>
      </c>
      <c r="L19" s="1">
        <v>2.6313399999999999E-20</v>
      </c>
      <c r="M19" s="1">
        <v>2.3572799999999998E-19</v>
      </c>
    </row>
    <row r="20" spans="1:13" x14ac:dyDescent="0.2">
      <c r="A20" t="s">
        <v>13</v>
      </c>
      <c r="B20">
        <v>0.453654</v>
      </c>
      <c r="C20">
        <v>4.9251999999999997E-2</v>
      </c>
      <c r="D20" s="2">
        <v>6.8499999999999995E-4</v>
      </c>
      <c r="E20">
        <v>2.1284999999999998E-2</v>
      </c>
      <c r="F20">
        <v>8.2430000000000003E-3</v>
      </c>
      <c r="G20">
        <v>5.4288999999999997E-2</v>
      </c>
      <c r="H20" s="1">
        <v>1.35366E-18</v>
      </c>
      <c r="I20" s="1">
        <v>1.5722300000000001E-19</v>
      </c>
      <c r="J20" s="1">
        <v>2.1873599999999999E-21</v>
      </c>
      <c r="K20" s="1">
        <v>6.7947700000000006E-20</v>
      </c>
      <c r="L20" s="1">
        <v>2.6313399999999999E-20</v>
      </c>
      <c r="M20" s="1">
        <v>1.7330099999999999E-19</v>
      </c>
    </row>
    <row r="21" spans="1:13" x14ac:dyDescent="0.2">
      <c r="D21" s="8"/>
    </row>
    <row r="22" spans="1:13" x14ac:dyDescent="0.2">
      <c r="A22" s="9" t="s">
        <v>16</v>
      </c>
      <c r="D22" s="8"/>
    </row>
    <row r="23" spans="1:13" x14ac:dyDescent="0.2">
      <c r="A23" s="9"/>
      <c r="B23" s="9" t="s">
        <v>31</v>
      </c>
      <c r="C23" s="9" t="s">
        <v>2</v>
      </c>
      <c r="D23" s="9"/>
      <c r="E23" s="9" t="s">
        <v>2</v>
      </c>
      <c r="F23" s="9"/>
      <c r="G23" s="9"/>
      <c r="H23" s="11" t="s">
        <v>3</v>
      </c>
      <c r="I23" s="9"/>
      <c r="J23" s="9"/>
      <c r="K23" s="9"/>
      <c r="L23" s="9"/>
      <c r="M23" s="9"/>
    </row>
    <row r="24" spans="1:13" x14ac:dyDescent="0.2">
      <c r="A24" s="9" t="s">
        <v>4</v>
      </c>
      <c r="B24" s="9" t="s">
        <v>5</v>
      </c>
      <c r="C24" s="9" t="s">
        <v>6</v>
      </c>
      <c r="D24" s="10" t="s">
        <v>7</v>
      </c>
      <c r="E24" s="9" t="s">
        <v>8</v>
      </c>
      <c r="F24" s="9" t="s">
        <v>9</v>
      </c>
      <c r="G24" s="9" t="s">
        <v>10</v>
      </c>
      <c r="H24" s="9" t="s">
        <v>5</v>
      </c>
      <c r="I24" s="9" t="s">
        <v>6</v>
      </c>
      <c r="J24" s="9" t="s">
        <v>7</v>
      </c>
      <c r="K24" s="9" t="s">
        <v>8</v>
      </c>
      <c r="L24" s="9" t="s">
        <v>9</v>
      </c>
      <c r="M24" s="9" t="s">
        <v>10</v>
      </c>
    </row>
    <row r="25" spans="1:13" x14ac:dyDescent="0.2">
      <c r="A25" s="9" t="s">
        <v>11</v>
      </c>
      <c r="B25">
        <v>0.34543200000000002</v>
      </c>
      <c r="C25">
        <v>5.9129000000000001E-2</v>
      </c>
      <c r="D25" s="2">
        <v>5.3600000000000002E-4</v>
      </c>
      <c r="E25">
        <v>1.8348E-2</v>
      </c>
      <c r="F25">
        <v>9.1450000000000004E-3</v>
      </c>
      <c r="G25">
        <v>6.2585000000000002E-2</v>
      </c>
      <c r="H25" s="1">
        <v>9.9326700000000007E-19</v>
      </c>
      <c r="I25" s="1">
        <v>1.88754E-19</v>
      </c>
      <c r="J25" s="1">
        <v>1.7101500000000001E-21</v>
      </c>
      <c r="K25" s="1">
        <v>5.8570800000000001E-20</v>
      </c>
      <c r="L25" s="1">
        <v>2.91939E-20</v>
      </c>
      <c r="M25" s="1">
        <v>1.9978499999999999E-19</v>
      </c>
    </row>
    <row r="26" spans="1:13" x14ac:dyDescent="0.2">
      <c r="A26" s="9" t="s">
        <v>12</v>
      </c>
      <c r="B26">
        <v>0.28788000000000002</v>
      </c>
      <c r="C26">
        <v>6.3324000000000005E-2</v>
      </c>
      <c r="D26" s="2">
        <v>5.7600000000000001E-4</v>
      </c>
      <c r="E26">
        <v>1.7996000000000002E-2</v>
      </c>
      <c r="F26">
        <v>9.1450000000000004E-3</v>
      </c>
      <c r="G26">
        <v>6.6465999999999997E-2</v>
      </c>
      <c r="H26" s="1">
        <v>8.0954799999999997E-19</v>
      </c>
      <c r="I26" s="1">
        <v>2.0214400000000001E-19</v>
      </c>
      <c r="J26" s="1">
        <v>1.83759E-21</v>
      </c>
      <c r="K26" s="1">
        <v>5.7446200000000004E-20</v>
      </c>
      <c r="L26" s="1">
        <v>2.91939E-20</v>
      </c>
      <c r="M26" s="1">
        <v>2.1217499999999999E-19</v>
      </c>
    </row>
    <row r="27" spans="1:13" x14ac:dyDescent="0.2">
      <c r="A27" s="9" t="s">
        <v>13</v>
      </c>
      <c r="B27">
        <v>0.318054</v>
      </c>
      <c r="C27">
        <v>4.3226000000000001E-2</v>
      </c>
      <c r="D27" s="2">
        <v>5.0000000000000001E-4</v>
      </c>
      <c r="E27">
        <v>1.8192E-2</v>
      </c>
      <c r="F27">
        <v>9.1450000000000004E-3</v>
      </c>
      <c r="G27">
        <v>4.7784E-2</v>
      </c>
      <c r="H27" s="1">
        <v>9.0586999999999994E-19</v>
      </c>
      <c r="I27" s="1">
        <v>1.37986E-19</v>
      </c>
      <c r="J27" s="1">
        <v>1.59588E-21</v>
      </c>
      <c r="K27" s="1">
        <v>5.8071399999999997E-20</v>
      </c>
      <c r="L27" s="1">
        <v>2.91939E-20</v>
      </c>
      <c r="M27" s="1">
        <v>1.5253600000000001E-19</v>
      </c>
    </row>
    <row r="29" spans="1:13" x14ac:dyDescent="0.2">
      <c r="K29" s="1">
        <v>1.37737E-20</v>
      </c>
    </row>
    <row r="30" spans="1:13" x14ac:dyDescent="0.2">
      <c r="H30" s="1"/>
    </row>
    <row r="31" spans="1:13" x14ac:dyDescent="0.2">
      <c r="D31" s="2">
        <v>4.3150000000000003E-3</v>
      </c>
      <c r="K31" s="1">
        <f>K29-K27</f>
        <v>-4.4297699999999997E-20</v>
      </c>
    </row>
    <row r="33" spans="4:4" x14ac:dyDescent="0.2">
      <c r="D33">
        <f>D31-E27</f>
        <v>-1.3877E-2</v>
      </c>
    </row>
  </sheetData>
  <mergeCells count="4">
    <mergeCell ref="P2:Q2"/>
    <mergeCell ref="R2:S2"/>
    <mergeCell ref="T2:U2"/>
    <mergeCell ref="V2:W2"/>
  </mergeCells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"/>
  <sheetViews>
    <sheetView zoomScale="98" workbookViewId="0">
      <selection activeCell="M33" sqref="M33"/>
    </sheetView>
  </sheetViews>
  <sheetFormatPr baseColWidth="10" defaultRowHeight="16" x14ac:dyDescent="0.2"/>
  <cols>
    <col min="14" max="14" width="12.33203125" bestFit="1" customWidth="1"/>
  </cols>
  <sheetData>
    <row r="1" spans="1:23" x14ac:dyDescent="0.2">
      <c r="A1" t="s">
        <v>0</v>
      </c>
    </row>
    <row r="2" spans="1:23" x14ac:dyDescent="0.2">
      <c r="B2" t="s">
        <v>1</v>
      </c>
      <c r="C2" t="s">
        <v>2</v>
      </c>
      <c r="E2" t="s">
        <v>2</v>
      </c>
      <c r="H2" t="s">
        <v>3</v>
      </c>
      <c r="P2" s="7" t="s">
        <v>0</v>
      </c>
      <c r="Q2" s="7"/>
      <c r="R2" s="7" t="s">
        <v>0</v>
      </c>
      <c r="S2" s="7"/>
      <c r="T2" s="7" t="s">
        <v>0</v>
      </c>
      <c r="U2" s="7"/>
      <c r="V2" s="7" t="s">
        <v>0</v>
      </c>
      <c r="W2" s="7"/>
    </row>
    <row r="3" spans="1:23" x14ac:dyDescent="0.2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s="2" t="s">
        <v>10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P3" t="s">
        <v>23</v>
      </c>
      <c r="Q3" t="s">
        <v>24</v>
      </c>
      <c r="R3" t="s">
        <v>23</v>
      </c>
      <c r="S3" t="s">
        <v>24</v>
      </c>
      <c r="T3" t="s">
        <v>23</v>
      </c>
      <c r="U3" t="s">
        <v>24</v>
      </c>
      <c r="V3" t="s">
        <v>23</v>
      </c>
      <c r="W3" t="s">
        <v>24</v>
      </c>
    </row>
    <row r="4" spans="1:23" x14ac:dyDescent="0.2">
      <c r="A4" t="s">
        <v>11</v>
      </c>
      <c r="B4">
        <v>0.41985499999999998</v>
      </c>
      <c r="C4">
        <v>9.9636000000000002E-2</v>
      </c>
      <c r="D4" s="2">
        <v>2.9177000000000002E-2</v>
      </c>
      <c r="E4">
        <v>2.4045E-2</v>
      </c>
      <c r="F4">
        <v>7.2979999999999998E-3</v>
      </c>
      <c r="G4" s="2">
        <v>0.106818</v>
      </c>
      <c r="H4" s="1">
        <v>1.26942E-18</v>
      </c>
      <c r="I4" s="1">
        <v>3.1806E-19</v>
      </c>
      <c r="J4" s="1">
        <v>9.3140000000000006E-20</v>
      </c>
      <c r="K4" s="1">
        <v>7.6756699999999997E-20</v>
      </c>
      <c r="L4" s="1">
        <v>2.32968E-20</v>
      </c>
      <c r="M4" s="1">
        <v>3.40986E-19</v>
      </c>
      <c r="N4">
        <f>SQRT(I4^2+J4^2+K4^2+L4^2)</f>
        <v>3.4098615086998767E-19</v>
      </c>
      <c r="O4" t="s">
        <v>17</v>
      </c>
    </row>
    <row r="5" spans="1:23" x14ac:dyDescent="0.2">
      <c r="A5" t="s">
        <v>12</v>
      </c>
      <c r="B5">
        <v>6.3406000000000004E-2</v>
      </c>
      <c r="C5">
        <v>0.119865</v>
      </c>
      <c r="D5" s="2">
        <v>2.1961999999999999E-2</v>
      </c>
      <c r="E5">
        <v>-6.5409999999999999E-3</v>
      </c>
      <c r="F5">
        <v>7.2979999999999998E-3</v>
      </c>
      <c r="G5" s="2">
        <v>0.122254</v>
      </c>
      <c r="H5" s="1">
        <v>1.3155400000000001E-19</v>
      </c>
      <c r="I5" s="1">
        <v>3.8263699999999998E-19</v>
      </c>
      <c r="J5" s="1">
        <v>7.0107800000000002E-20</v>
      </c>
      <c r="K5" s="1">
        <v>-2.08794E-20</v>
      </c>
      <c r="L5" s="1">
        <v>2.32968E-20</v>
      </c>
      <c r="M5" s="1">
        <v>3.9026300000000001E-19</v>
      </c>
      <c r="O5" t="s">
        <v>18</v>
      </c>
    </row>
    <row r="6" spans="1:23" x14ac:dyDescent="0.2">
      <c r="A6" t="s">
        <v>13</v>
      </c>
      <c r="B6">
        <v>0.28343699999999999</v>
      </c>
      <c r="C6">
        <v>7.7412999999999996E-2</v>
      </c>
      <c r="D6" s="2">
        <v>1.5062000000000001E-2</v>
      </c>
      <c r="E6">
        <v>1.3661E-2</v>
      </c>
      <c r="F6">
        <v>7.2979999999999998E-3</v>
      </c>
      <c r="G6" s="2">
        <v>8.0370999999999998E-2</v>
      </c>
      <c r="H6" s="1">
        <v>8.3393899999999998E-19</v>
      </c>
      <c r="I6" s="1">
        <v>2.4711899999999999E-19</v>
      </c>
      <c r="J6" s="1">
        <v>4.8080100000000002E-20</v>
      </c>
      <c r="K6" s="1">
        <v>4.3610199999999998E-20</v>
      </c>
      <c r="L6" s="1">
        <v>2.32968E-20</v>
      </c>
      <c r="M6" s="1">
        <v>2.5656200000000001E-19</v>
      </c>
      <c r="O6" t="s">
        <v>19</v>
      </c>
    </row>
    <row r="7" spans="1:23" x14ac:dyDescent="0.2">
      <c r="D7" s="2"/>
      <c r="G7" s="2"/>
      <c r="O7" t="s">
        <v>20</v>
      </c>
    </row>
    <row r="8" spans="1:23" x14ac:dyDescent="0.2">
      <c r="A8" t="s">
        <v>14</v>
      </c>
      <c r="D8" s="2"/>
      <c r="G8" s="2"/>
      <c r="O8" t="s">
        <v>21</v>
      </c>
    </row>
    <row r="9" spans="1:23" x14ac:dyDescent="0.2">
      <c r="B9" t="s">
        <v>1</v>
      </c>
      <c r="C9" t="s">
        <v>2</v>
      </c>
      <c r="D9" s="2"/>
      <c r="E9" t="s">
        <v>2</v>
      </c>
      <c r="G9" s="2"/>
      <c r="H9" t="s">
        <v>3</v>
      </c>
      <c r="O9" t="s">
        <v>22</v>
      </c>
    </row>
    <row r="10" spans="1:23" x14ac:dyDescent="0.2">
      <c r="A10" t="s">
        <v>4</v>
      </c>
      <c r="B10" t="s">
        <v>5</v>
      </c>
      <c r="C10" t="s">
        <v>6</v>
      </c>
      <c r="D10" s="2" t="s">
        <v>7</v>
      </c>
      <c r="E10" t="s">
        <v>8</v>
      </c>
      <c r="F10" t="s">
        <v>9</v>
      </c>
      <c r="G10" s="2" t="s">
        <v>10</v>
      </c>
      <c r="H10" t="s">
        <v>5</v>
      </c>
      <c r="I10" t="s">
        <v>6</v>
      </c>
      <c r="J10" t="s">
        <v>7</v>
      </c>
      <c r="K10" t="s">
        <v>8</v>
      </c>
      <c r="L10" t="s">
        <v>9</v>
      </c>
      <c r="M10" t="s">
        <v>10</v>
      </c>
    </row>
    <row r="11" spans="1:23" x14ac:dyDescent="0.2">
      <c r="A11" t="s">
        <v>11</v>
      </c>
      <c r="B11">
        <v>0.25402000000000002</v>
      </c>
      <c r="C11">
        <v>8.5106000000000001E-2</v>
      </c>
      <c r="D11" s="2">
        <v>1.5875E-2</v>
      </c>
      <c r="E11">
        <v>1.1960999999999999E-2</v>
      </c>
      <c r="F11">
        <v>8.1720000000000004E-3</v>
      </c>
      <c r="G11" s="2">
        <v>8.7776999999999994E-2</v>
      </c>
      <c r="H11" s="1">
        <v>7.3835499999999997E-19</v>
      </c>
      <c r="I11" s="1">
        <v>2.7167599999999998E-19</v>
      </c>
      <c r="J11" s="1">
        <v>5.0675299999999997E-20</v>
      </c>
      <c r="K11" s="1">
        <v>3.8182800000000002E-20</v>
      </c>
      <c r="L11" s="1">
        <v>2.6087E-20</v>
      </c>
      <c r="M11" s="1">
        <v>2.8020399999999998E-19</v>
      </c>
      <c r="P11" t="s">
        <v>5</v>
      </c>
      <c r="Q11" t="s">
        <v>6</v>
      </c>
      <c r="R11" t="s">
        <v>7</v>
      </c>
      <c r="S11" t="s">
        <v>8</v>
      </c>
      <c r="T11" t="s">
        <v>9</v>
      </c>
      <c r="U11" t="s">
        <v>10</v>
      </c>
    </row>
    <row r="12" spans="1:23" x14ac:dyDescent="0.2">
      <c r="A12" t="s">
        <v>12</v>
      </c>
      <c r="B12">
        <v>0.25253100000000001</v>
      </c>
      <c r="C12">
        <v>0.102476</v>
      </c>
      <c r="D12" s="2">
        <v>2.3602000000000001E-2</v>
      </c>
      <c r="E12">
        <v>-7.9199999999999995E-4</v>
      </c>
      <c r="F12">
        <v>8.1720000000000004E-3</v>
      </c>
      <c r="G12" s="2">
        <v>0.105479</v>
      </c>
      <c r="H12" s="1">
        <v>7.3360299999999997E-19</v>
      </c>
      <c r="I12" s="1">
        <v>3.27126E-19</v>
      </c>
      <c r="J12" s="1">
        <v>7.5342300000000004E-20</v>
      </c>
      <c r="K12" s="1">
        <v>-2.5292600000000001E-21</v>
      </c>
      <c r="L12" s="1">
        <v>2.6087E-20</v>
      </c>
      <c r="M12" s="1">
        <v>3.3671200000000002E-19</v>
      </c>
    </row>
    <row r="13" spans="1:23" x14ac:dyDescent="0.2">
      <c r="A13" t="s">
        <v>13</v>
      </c>
      <c r="B13">
        <v>0.26094600000000001</v>
      </c>
      <c r="C13">
        <v>6.6155000000000005E-2</v>
      </c>
      <c r="D13" s="2">
        <v>1.3771E-2</v>
      </c>
      <c r="E13">
        <v>7.6169999999999996E-3</v>
      </c>
      <c r="F13">
        <v>8.1720000000000004E-3</v>
      </c>
      <c r="G13" s="2">
        <v>6.8489999999999995E-2</v>
      </c>
      <c r="H13" s="1">
        <v>7.6046800000000004E-19</v>
      </c>
      <c r="I13" s="1">
        <v>2.1118099999999999E-19</v>
      </c>
      <c r="J13" s="1">
        <v>4.3961199999999997E-20</v>
      </c>
      <c r="K13" s="1">
        <v>2.43143E-20</v>
      </c>
      <c r="L13" s="1">
        <v>2.6087E-20</v>
      </c>
      <c r="M13" s="1">
        <v>2.1863599999999999E-19</v>
      </c>
    </row>
    <row r="14" spans="1:23" x14ac:dyDescent="0.2">
      <c r="D14" s="2"/>
      <c r="G14" s="2"/>
    </row>
    <row r="15" spans="1:23" x14ac:dyDescent="0.2">
      <c r="A15" t="s">
        <v>15</v>
      </c>
      <c r="D15" s="2"/>
      <c r="G15" s="2"/>
    </row>
    <row r="16" spans="1:23" x14ac:dyDescent="0.2">
      <c r="B16" t="s">
        <v>1</v>
      </c>
      <c r="C16" t="s">
        <v>2</v>
      </c>
      <c r="D16" s="2" t="s">
        <v>3</v>
      </c>
      <c r="E16" t="s">
        <v>2</v>
      </c>
      <c r="G16" s="2"/>
    </row>
    <row r="17" spans="1:13" x14ac:dyDescent="0.2">
      <c r="A17" t="s">
        <v>4</v>
      </c>
      <c r="B17" t="s">
        <v>5</v>
      </c>
      <c r="C17" t="s">
        <v>6</v>
      </c>
      <c r="D17" s="2" t="s">
        <v>7</v>
      </c>
      <c r="E17" t="s">
        <v>8</v>
      </c>
      <c r="F17" t="s">
        <v>9</v>
      </c>
      <c r="G17" s="2" t="s">
        <v>10</v>
      </c>
      <c r="H17" t="s">
        <v>5</v>
      </c>
      <c r="I17" t="s">
        <v>6</v>
      </c>
      <c r="J17" t="s">
        <v>7</v>
      </c>
      <c r="K17" t="s">
        <v>8</v>
      </c>
      <c r="L17" t="s">
        <v>9</v>
      </c>
      <c r="M17" t="s">
        <v>10</v>
      </c>
    </row>
    <row r="18" spans="1:13" x14ac:dyDescent="0.2">
      <c r="A18" t="s">
        <v>11</v>
      </c>
      <c r="B18">
        <v>0.51198100000000002</v>
      </c>
      <c r="C18">
        <v>6.9817000000000004E-2</v>
      </c>
      <c r="D18" s="2">
        <v>3.2154000000000002E-2</v>
      </c>
      <c r="E18">
        <v>2.7392E-2</v>
      </c>
      <c r="F18">
        <v>8.2430000000000003E-3</v>
      </c>
      <c r="G18" s="2">
        <v>8.2015000000000005E-2</v>
      </c>
      <c r="H18" s="1">
        <v>1.5398600000000001E-18</v>
      </c>
      <c r="I18" s="1">
        <v>2.2286999999999999E-19</v>
      </c>
      <c r="J18" s="1">
        <v>1.0264199999999999E-19</v>
      </c>
      <c r="K18" s="1">
        <v>8.7442599999999996E-20</v>
      </c>
      <c r="L18" s="1">
        <v>2.6313399999999999E-20</v>
      </c>
      <c r="M18" s="1">
        <v>2.61811E-19</v>
      </c>
    </row>
    <row r="19" spans="1:13" x14ac:dyDescent="0.2">
      <c r="A19" t="s">
        <v>12</v>
      </c>
      <c r="B19">
        <v>0.46260600000000002</v>
      </c>
      <c r="C19">
        <v>8.4856000000000001E-2</v>
      </c>
      <c r="D19" s="2">
        <v>3.4336999999999999E-2</v>
      </c>
      <c r="E19">
        <v>1.3952000000000001E-2</v>
      </c>
      <c r="F19">
        <v>8.2430000000000003E-3</v>
      </c>
      <c r="G19" s="2">
        <v>9.2964000000000005E-2</v>
      </c>
      <c r="H19" s="1">
        <v>1.38224E-18</v>
      </c>
      <c r="I19" s="1">
        <v>2.7088100000000002E-19</v>
      </c>
      <c r="J19" s="1">
        <v>1.09611E-19</v>
      </c>
      <c r="K19" s="1">
        <v>4.4537300000000002E-20</v>
      </c>
      <c r="L19" s="1">
        <v>2.6313399999999999E-20</v>
      </c>
      <c r="M19" s="1">
        <v>2.9676000000000001E-19</v>
      </c>
    </row>
    <row r="20" spans="1:13" x14ac:dyDescent="0.2">
      <c r="A20" t="s">
        <v>13</v>
      </c>
      <c r="B20">
        <v>0.50278</v>
      </c>
      <c r="C20">
        <v>5.4510999999999997E-2</v>
      </c>
      <c r="D20" s="2">
        <v>2.4098000000000001E-2</v>
      </c>
      <c r="E20">
        <v>2.351E-2</v>
      </c>
      <c r="F20">
        <v>8.2430000000000003E-3</v>
      </c>
      <c r="G20" s="2">
        <v>6.4598000000000003E-2</v>
      </c>
      <c r="H20" s="1">
        <v>1.51049E-18</v>
      </c>
      <c r="I20" s="1">
        <v>1.7401199999999999E-19</v>
      </c>
      <c r="J20" s="1">
        <v>7.6926800000000004E-20</v>
      </c>
      <c r="K20" s="1">
        <v>7.5048999999999994E-20</v>
      </c>
      <c r="L20" s="1">
        <v>2.6313399999999999E-20</v>
      </c>
      <c r="M20" s="1">
        <v>2.0621100000000001E-19</v>
      </c>
    </row>
    <row r="21" spans="1:13" x14ac:dyDescent="0.2">
      <c r="D21" s="2"/>
      <c r="G21" s="2"/>
    </row>
    <row r="22" spans="1:13" x14ac:dyDescent="0.2">
      <c r="A22" t="s">
        <v>16</v>
      </c>
      <c r="D22" s="2"/>
      <c r="G22" s="2"/>
    </row>
    <row r="23" spans="1:13" x14ac:dyDescent="0.2">
      <c r="B23" t="s">
        <v>1</v>
      </c>
      <c r="C23" t="s">
        <v>2</v>
      </c>
      <c r="D23" s="2" t="s">
        <v>3</v>
      </c>
      <c r="E23" t="s">
        <v>2</v>
      </c>
      <c r="G23" s="2"/>
    </row>
    <row r="24" spans="1:13" x14ac:dyDescent="0.2">
      <c r="A24" t="s">
        <v>4</v>
      </c>
      <c r="B24" t="s">
        <v>5</v>
      </c>
      <c r="C24" t="s">
        <v>6</v>
      </c>
      <c r="D24" s="2" t="s">
        <v>7</v>
      </c>
      <c r="E24" t="s">
        <v>8</v>
      </c>
      <c r="F24" t="s">
        <v>9</v>
      </c>
      <c r="G24" s="2" t="s">
        <v>10</v>
      </c>
      <c r="H24" t="s">
        <v>5</v>
      </c>
      <c r="I24" t="s">
        <v>6</v>
      </c>
      <c r="J24" t="s">
        <v>7</v>
      </c>
      <c r="K24" t="s">
        <v>8</v>
      </c>
      <c r="L24" t="s">
        <v>9</v>
      </c>
      <c r="M24" t="s">
        <v>10</v>
      </c>
    </row>
    <row r="25" spans="1:13" x14ac:dyDescent="0.2">
      <c r="A25" t="s">
        <v>11</v>
      </c>
      <c r="B25">
        <v>0.35704900000000001</v>
      </c>
      <c r="C25">
        <v>6.1284999999999999E-2</v>
      </c>
      <c r="D25" s="2">
        <v>2.2304999999999998E-2</v>
      </c>
      <c r="E25">
        <v>1.8165000000000001E-2</v>
      </c>
      <c r="F25">
        <v>9.1450000000000004E-3</v>
      </c>
      <c r="G25" s="2">
        <v>6.8315000000000001E-2</v>
      </c>
      <c r="H25" s="1">
        <v>1.0303500000000001E-18</v>
      </c>
      <c r="I25" s="1">
        <v>1.9563599999999999E-19</v>
      </c>
      <c r="J25" s="1">
        <v>7.1201400000000002E-20</v>
      </c>
      <c r="K25" s="1">
        <v>5.7986500000000006E-20</v>
      </c>
      <c r="L25" s="1">
        <v>2.91939E-20</v>
      </c>
      <c r="M25" s="1">
        <v>2.1807699999999998E-19</v>
      </c>
    </row>
    <row r="26" spans="1:13" x14ac:dyDescent="0.2">
      <c r="A26" t="s">
        <v>12</v>
      </c>
      <c r="B26">
        <v>0.335532</v>
      </c>
      <c r="C26">
        <v>7.4518000000000001E-2</v>
      </c>
      <c r="D26" s="2">
        <v>2.7038E-2</v>
      </c>
      <c r="E26">
        <v>2.1829999999999999E-2</v>
      </c>
      <c r="F26">
        <v>9.1450000000000004E-3</v>
      </c>
      <c r="G26" s="2">
        <v>8.2728999999999997E-2</v>
      </c>
      <c r="H26" s="1">
        <v>9.61665E-19</v>
      </c>
      <c r="I26" s="1">
        <v>2.3787700000000001E-19</v>
      </c>
      <c r="J26" s="1">
        <v>8.6311299999999999E-20</v>
      </c>
      <c r="K26" s="1">
        <v>6.96854E-20</v>
      </c>
      <c r="L26" s="1">
        <v>2.91939E-20</v>
      </c>
      <c r="M26" s="1">
        <v>2.6409000000000002E-19</v>
      </c>
    </row>
    <row r="27" spans="1:13" x14ac:dyDescent="0.2">
      <c r="A27" t="s">
        <v>13</v>
      </c>
      <c r="B27">
        <v>0.35107300000000002</v>
      </c>
      <c r="C27">
        <v>4.7853E-2</v>
      </c>
      <c r="D27" s="2">
        <v>1.6421999999999999E-2</v>
      </c>
      <c r="E27">
        <v>2.0326E-2</v>
      </c>
      <c r="F27">
        <v>9.1450000000000004E-3</v>
      </c>
      <c r="G27" s="2">
        <v>5.5285000000000001E-2</v>
      </c>
      <c r="H27" s="1">
        <v>1.0112799999999999E-18</v>
      </c>
      <c r="I27" s="1">
        <v>1.5275800000000001E-19</v>
      </c>
      <c r="J27" s="1">
        <v>5.2423700000000001E-20</v>
      </c>
      <c r="K27" s="1">
        <v>6.4886299999999998E-20</v>
      </c>
      <c r="L27" s="1">
        <v>2.91939E-20</v>
      </c>
      <c r="M27" s="1">
        <v>1.7648200000000001E-19</v>
      </c>
    </row>
    <row r="28" spans="1:13" x14ac:dyDescent="0.2">
      <c r="D28">
        <f>D20-0.05*D20</f>
        <v>2.28931E-2</v>
      </c>
    </row>
    <row r="29" spans="1:13" x14ac:dyDescent="0.2">
      <c r="D29">
        <f>D27-0.05*D27</f>
        <v>1.5600899999999999E-2</v>
      </c>
    </row>
    <row r="30" spans="1:13" x14ac:dyDescent="0.2">
      <c r="C30">
        <f>C25/D25</f>
        <v>2.7475902264066354</v>
      </c>
      <c r="H30" s="1">
        <f>I25/J25</f>
        <v>2.7476426025330962</v>
      </c>
      <c r="M30" s="1">
        <v>1.5253600000000001E-19</v>
      </c>
    </row>
    <row r="32" spans="1:13" x14ac:dyDescent="0.2">
      <c r="C32">
        <f>C27/B27</f>
        <v>0.13630498500311899</v>
      </c>
      <c r="D32">
        <f>D27/B27</f>
        <v>4.6776596320423379E-2</v>
      </c>
      <c r="E32">
        <f>E27/B27</f>
        <v>5.7896790695952119E-2</v>
      </c>
      <c r="M32" s="1">
        <f>M27-1E-20</f>
        <v>1.6648200000000001E-19</v>
      </c>
    </row>
    <row r="35" spans="4:4" x14ac:dyDescent="0.2">
      <c r="D35" t="s">
        <v>29</v>
      </c>
    </row>
    <row r="36" spans="4:4" x14ac:dyDescent="0.2">
      <c r="D36" t="s">
        <v>30</v>
      </c>
    </row>
  </sheetData>
  <mergeCells count="4">
    <mergeCell ref="P2:Q2"/>
    <mergeCell ref="R2:S2"/>
    <mergeCell ref="T2:U2"/>
    <mergeCell ref="V2:W2"/>
  </mergeCells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7B0D-BB5E-F048-85FC-E6B6B5CA9825}">
  <dimension ref="A1:Q238"/>
  <sheetViews>
    <sheetView topLeftCell="E229" workbookViewId="0">
      <selection activeCell="T165" sqref="T165"/>
    </sheetView>
  </sheetViews>
  <sheetFormatPr baseColWidth="10" defaultRowHeight="16" x14ac:dyDescent="0.2"/>
  <sheetData>
    <row r="1" spans="1:17" x14ac:dyDescent="0.2">
      <c r="A1" s="3"/>
      <c r="B1" s="3" t="s">
        <v>26</v>
      </c>
      <c r="C1" s="3" t="s">
        <v>27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7" x14ac:dyDescent="0.2">
      <c r="A2" s="3">
        <v>0</v>
      </c>
      <c r="B2" s="3">
        <v>5625977</v>
      </c>
      <c r="C2" s="3">
        <v>2429052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spans="1:17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7" x14ac:dyDescent="0.2">
      <c r="A4" s="3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7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7" x14ac:dyDescent="0.2">
      <c r="A6" s="3"/>
      <c r="B6" s="3" t="s">
        <v>1</v>
      </c>
      <c r="C6" s="3" t="s">
        <v>2</v>
      </c>
      <c r="D6" s="3" t="s">
        <v>3</v>
      </c>
      <c r="E6" s="3" t="s">
        <v>2</v>
      </c>
      <c r="F6" s="3"/>
      <c r="G6" s="3"/>
      <c r="H6" s="3"/>
      <c r="I6" s="3"/>
      <c r="J6" s="3"/>
      <c r="K6" s="3"/>
      <c r="L6" s="3"/>
      <c r="M6" s="3"/>
    </row>
    <row r="7" spans="1:17" x14ac:dyDescent="0.2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5</v>
      </c>
      <c r="I7" s="3" t="s">
        <v>6</v>
      </c>
      <c r="J7" s="3" t="s">
        <v>7</v>
      </c>
      <c r="K7" s="3" t="s">
        <v>8</v>
      </c>
      <c r="L7" s="3" t="s">
        <v>9</v>
      </c>
      <c r="M7" s="3" t="s">
        <v>10</v>
      </c>
    </row>
    <row r="8" spans="1:17" x14ac:dyDescent="0.2">
      <c r="A8" s="3" t="s">
        <v>11</v>
      </c>
      <c r="B8" s="3">
        <v>0.60879000000000005</v>
      </c>
      <c r="C8" s="3">
        <v>0.14312800000000001</v>
      </c>
      <c r="D8" s="3">
        <v>8.5793999999999995E-2</v>
      </c>
      <c r="E8" s="3">
        <v>3.9572999999999997E-2</v>
      </c>
      <c r="F8" s="3">
        <v>7.2979999999999998E-3</v>
      </c>
      <c r="G8" s="3">
        <v>0.171656</v>
      </c>
      <c r="H8" s="4">
        <v>1.8700000000000001E-18</v>
      </c>
      <c r="I8" s="4">
        <v>4.5699999999999996E-19</v>
      </c>
      <c r="J8" s="4">
        <v>2.74E-19</v>
      </c>
      <c r="K8" s="4">
        <v>1.2599999999999999E-19</v>
      </c>
      <c r="L8" s="4">
        <v>2.33E-20</v>
      </c>
      <c r="M8" s="4">
        <v>5.4799999999999999E-19</v>
      </c>
    </row>
    <row r="9" spans="1:17" x14ac:dyDescent="0.2">
      <c r="A9" s="3" t="s">
        <v>12</v>
      </c>
      <c r="B9" s="3">
        <v>5.5307000000000002E-2</v>
      </c>
      <c r="C9" s="3">
        <v>0.12146999999999999</v>
      </c>
      <c r="D9" s="3">
        <v>4.7788999999999998E-2</v>
      </c>
      <c r="E9" s="3">
        <v>-8.0339999999999995E-3</v>
      </c>
      <c r="F9" s="3">
        <v>7.2979999999999998E-3</v>
      </c>
      <c r="G9" s="3">
        <v>0.13098299999999999</v>
      </c>
      <c r="H9" s="4">
        <v>1.06E-19</v>
      </c>
      <c r="I9" s="4">
        <v>3.8799999999999998E-19</v>
      </c>
      <c r="J9" s="4">
        <v>1.53E-19</v>
      </c>
      <c r="K9" s="4">
        <v>-2.5600000000000001E-20</v>
      </c>
      <c r="L9" s="4">
        <v>2.33E-20</v>
      </c>
      <c r="M9" s="4">
        <v>4.1800000000000001E-19</v>
      </c>
    </row>
    <row r="10" spans="1:17" x14ac:dyDescent="0.2">
      <c r="A10" s="3" t="s">
        <v>13</v>
      </c>
      <c r="B10" s="3">
        <v>0.32377299999999998</v>
      </c>
      <c r="C10" s="3">
        <v>9.4674999999999995E-2</v>
      </c>
      <c r="D10" s="5">
        <v>4.8479000000000001E-2</v>
      </c>
      <c r="E10" s="5">
        <v>1.414E-2</v>
      </c>
      <c r="F10" s="5">
        <v>7.2979999999999998E-3</v>
      </c>
      <c r="G10" s="5">
        <v>0.10754900000000001</v>
      </c>
      <c r="H10" s="4">
        <v>9.63E-19</v>
      </c>
      <c r="I10" s="4">
        <v>3.0200000000000001E-19</v>
      </c>
      <c r="J10" s="4">
        <v>1.5499999999999999E-19</v>
      </c>
      <c r="K10" s="4">
        <v>4.5099999999999999E-20</v>
      </c>
      <c r="L10" s="4">
        <v>2.33E-20</v>
      </c>
      <c r="M10" s="4">
        <v>3.4300000000000002E-19</v>
      </c>
      <c r="O10">
        <f>D10/B10</f>
        <v>0.14973144765005114</v>
      </c>
      <c r="P10" s="3">
        <v>0.46905468</v>
      </c>
      <c r="Q10">
        <f>C10/B10</f>
        <v>0.29241165878563069</v>
      </c>
    </row>
    <row r="11" spans="1:17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7" x14ac:dyDescent="0.2">
      <c r="A12" s="3" t="s">
        <v>14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7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7" x14ac:dyDescent="0.2">
      <c r="A14" s="3"/>
      <c r="B14" s="3" t="s">
        <v>1</v>
      </c>
      <c r="C14" s="3" t="s">
        <v>2</v>
      </c>
      <c r="D14" s="3" t="s">
        <v>3</v>
      </c>
      <c r="E14" s="3" t="s">
        <v>2</v>
      </c>
      <c r="F14" s="3"/>
      <c r="G14" s="3"/>
      <c r="H14" s="3"/>
      <c r="I14" s="3"/>
      <c r="J14" s="3"/>
      <c r="K14" s="3"/>
      <c r="L14" s="3"/>
      <c r="M14" s="3"/>
    </row>
    <row r="15" spans="1:17" x14ac:dyDescent="0.2">
      <c r="A15" s="3" t="s">
        <v>4</v>
      </c>
      <c r="B15" s="3" t="s">
        <v>5</v>
      </c>
      <c r="C15" s="3" t="s">
        <v>6</v>
      </c>
      <c r="D15" s="3" t="s">
        <v>7</v>
      </c>
      <c r="E15" s="3" t="s">
        <v>8</v>
      </c>
      <c r="F15" s="3" t="s">
        <v>9</v>
      </c>
      <c r="G15" s="3" t="s">
        <v>10</v>
      </c>
      <c r="H15" s="3" t="s">
        <v>5</v>
      </c>
      <c r="I15" s="3" t="s">
        <v>6</v>
      </c>
      <c r="J15" s="3" t="s">
        <v>7</v>
      </c>
      <c r="K15" s="3" t="s">
        <v>8</v>
      </c>
      <c r="L15" s="3" t="s">
        <v>9</v>
      </c>
      <c r="M15" s="3" t="s">
        <v>10</v>
      </c>
    </row>
    <row r="16" spans="1:17" x14ac:dyDescent="0.2">
      <c r="A16" s="3" t="s">
        <v>11</v>
      </c>
      <c r="B16" s="3">
        <v>0.38581799999999999</v>
      </c>
      <c r="C16" s="3">
        <v>0.12227399999999999</v>
      </c>
      <c r="D16" s="3">
        <v>5.8769000000000002E-2</v>
      </c>
      <c r="E16" s="3">
        <v>2.0804E-2</v>
      </c>
      <c r="F16" s="3">
        <v>8.1720000000000004E-3</v>
      </c>
      <c r="G16" s="3">
        <v>0.137493</v>
      </c>
      <c r="H16" s="4">
        <v>1.16E-18</v>
      </c>
      <c r="I16" s="4">
        <v>3.9E-19</v>
      </c>
      <c r="J16" s="4">
        <v>1.8800000000000001E-19</v>
      </c>
      <c r="K16" s="4">
        <v>6.6400000000000002E-20</v>
      </c>
      <c r="L16" s="4">
        <v>2.61E-20</v>
      </c>
      <c r="M16" s="4">
        <v>4.3900000000000003E-19</v>
      </c>
    </row>
    <row r="17" spans="1:17" x14ac:dyDescent="0.2">
      <c r="A17" s="3" t="s">
        <v>12</v>
      </c>
      <c r="B17" s="3">
        <v>0.23213300000000001</v>
      </c>
      <c r="C17" s="3">
        <v>0.103898</v>
      </c>
      <c r="D17" s="3">
        <v>5.2060000000000002E-2</v>
      </c>
      <c r="E17" s="3">
        <v>-4.8960000000000002E-3</v>
      </c>
      <c r="F17" s="3">
        <v>8.1720000000000004E-3</v>
      </c>
      <c r="G17" s="3">
        <v>0.116601</v>
      </c>
      <c r="H17" s="4">
        <v>6.6800000000000003E-19</v>
      </c>
      <c r="I17" s="4">
        <v>3.32E-19</v>
      </c>
      <c r="J17" s="4">
        <v>1.66E-19</v>
      </c>
      <c r="K17" s="4">
        <v>-1.56E-20</v>
      </c>
      <c r="L17" s="4">
        <v>2.61E-20</v>
      </c>
      <c r="M17" s="4">
        <v>3.7200000000000002E-19</v>
      </c>
    </row>
    <row r="18" spans="1:17" x14ac:dyDescent="0.2">
      <c r="A18" s="3" t="s">
        <v>13</v>
      </c>
      <c r="B18" s="3">
        <v>0.31215999999999999</v>
      </c>
      <c r="C18" s="3">
        <v>8.0914E-2</v>
      </c>
      <c r="D18" s="3">
        <v>4.4595999999999997E-2</v>
      </c>
      <c r="E18" s="3">
        <v>7.2820000000000003E-3</v>
      </c>
      <c r="F18" s="3">
        <v>8.1720000000000004E-3</v>
      </c>
      <c r="G18" s="3">
        <v>9.3036999999999995E-2</v>
      </c>
      <c r="H18" s="4">
        <v>9.2400000000000005E-19</v>
      </c>
      <c r="I18" s="4">
        <v>2.5799999999999999E-19</v>
      </c>
      <c r="J18" s="4">
        <v>1.42E-19</v>
      </c>
      <c r="K18" s="4">
        <v>2.32E-20</v>
      </c>
      <c r="L18" s="4">
        <v>2.61E-20</v>
      </c>
      <c r="M18" s="4">
        <v>2.9699999999999999E-19</v>
      </c>
      <c r="O18">
        <f>D18/B18</f>
        <v>0.14286263454638645</v>
      </c>
      <c r="P18">
        <f>D18/C18</f>
        <v>0.55115307610549469</v>
      </c>
      <c r="Q18">
        <f>C18/B18</f>
        <v>0.25920681701691439</v>
      </c>
    </row>
    <row r="19" spans="1:17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7" x14ac:dyDescent="0.2">
      <c r="A20" s="3" t="s">
        <v>15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7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7" x14ac:dyDescent="0.2">
      <c r="A22" s="3"/>
      <c r="B22" s="3" t="s">
        <v>1</v>
      </c>
      <c r="C22" s="3" t="s">
        <v>2</v>
      </c>
      <c r="D22" s="3" t="s">
        <v>3</v>
      </c>
      <c r="E22" s="3" t="s">
        <v>2</v>
      </c>
      <c r="F22" s="3"/>
      <c r="G22" s="3"/>
      <c r="H22" s="3"/>
      <c r="I22" s="3"/>
      <c r="J22" s="3"/>
      <c r="K22" s="3"/>
      <c r="L22" s="3"/>
      <c r="M22" s="3"/>
    </row>
    <row r="23" spans="1:17" x14ac:dyDescent="0.2">
      <c r="A23" s="3" t="s">
        <v>4</v>
      </c>
      <c r="B23" s="3" t="s">
        <v>5</v>
      </c>
      <c r="C23" s="3" t="s">
        <v>6</v>
      </c>
      <c r="D23" s="3" t="s">
        <v>7</v>
      </c>
      <c r="E23" s="3" t="s">
        <v>8</v>
      </c>
      <c r="F23" s="3" t="s">
        <v>9</v>
      </c>
      <c r="G23" s="3" t="s">
        <v>10</v>
      </c>
      <c r="H23" s="3" t="s">
        <v>5</v>
      </c>
      <c r="I23" s="3" t="s">
        <v>6</v>
      </c>
      <c r="J23" s="3" t="s">
        <v>7</v>
      </c>
      <c r="K23" s="3" t="s">
        <v>8</v>
      </c>
      <c r="L23" s="3" t="s">
        <v>9</v>
      </c>
      <c r="M23" s="3" t="s">
        <v>10</v>
      </c>
    </row>
    <row r="24" spans="1:17" x14ac:dyDescent="0.2">
      <c r="A24" s="3" t="s">
        <v>11</v>
      </c>
      <c r="B24" s="3">
        <v>0.71280900000000003</v>
      </c>
      <c r="C24" s="3">
        <v>0.100451</v>
      </c>
      <c r="D24" s="3">
        <v>9.1683000000000001E-2</v>
      </c>
      <c r="E24" s="3">
        <v>4.0948999999999999E-2</v>
      </c>
      <c r="F24" s="3">
        <v>8.2430000000000003E-3</v>
      </c>
      <c r="G24" s="3">
        <v>0.14227100000000001</v>
      </c>
      <c r="H24" s="4">
        <v>2.18E-18</v>
      </c>
      <c r="I24" s="4">
        <v>3.2100000000000002E-19</v>
      </c>
      <c r="J24" s="4">
        <v>2.93E-19</v>
      </c>
      <c r="K24" s="4">
        <v>1.3099999999999999E-19</v>
      </c>
      <c r="L24" s="4">
        <v>2.63E-20</v>
      </c>
      <c r="M24" s="4">
        <v>4.5399999999999995E-19</v>
      </c>
    </row>
    <row r="25" spans="1:17" x14ac:dyDescent="0.2">
      <c r="A25" s="3" t="s">
        <v>12</v>
      </c>
      <c r="B25" s="3">
        <v>0.44484299999999999</v>
      </c>
      <c r="C25" s="3">
        <v>8.6012000000000005E-2</v>
      </c>
      <c r="D25" s="3">
        <v>7.8827999999999995E-2</v>
      </c>
      <c r="E25" s="3">
        <v>8.6680000000000004E-3</v>
      </c>
      <c r="F25" s="3">
        <v>8.2430000000000003E-3</v>
      </c>
      <c r="G25" s="3">
        <v>0.117282</v>
      </c>
      <c r="H25" s="4">
        <v>1.33E-18</v>
      </c>
      <c r="I25" s="4">
        <v>2.7499999999999998E-19</v>
      </c>
      <c r="J25" s="4">
        <v>2.5199999999999999E-19</v>
      </c>
      <c r="K25" s="4">
        <v>2.7699999999999999E-20</v>
      </c>
      <c r="L25" s="4">
        <v>2.63E-20</v>
      </c>
      <c r="M25" s="4">
        <v>3.7399999999999999E-19</v>
      </c>
    </row>
    <row r="26" spans="1:17" x14ac:dyDescent="0.2">
      <c r="A26" s="3" t="s">
        <v>13</v>
      </c>
      <c r="B26" s="3">
        <v>0.59692699999999999</v>
      </c>
      <c r="C26" s="3">
        <v>6.6687999999999997E-2</v>
      </c>
      <c r="D26" s="3">
        <v>7.5172000000000003E-2</v>
      </c>
      <c r="E26" s="3">
        <v>2.6322000000000002E-2</v>
      </c>
      <c r="F26" s="3">
        <v>8.2430000000000003E-3</v>
      </c>
      <c r="G26" s="3">
        <v>0.10420599999999999</v>
      </c>
      <c r="H26" s="4">
        <v>1.81E-18</v>
      </c>
      <c r="I26" s="4">
        <v>2.1299999999999999E-19</v>
      </c>
      <c r="J26" s="4">
        <v>2.4000000000000002E-19</v>
      </c>
      <c r="K26" s="4">
        <v>8.3999999999999996E-20</v>
      </c>
      <c r="L26" s="4">
        <v>2.63E-20</v>
      </c>
      <c r="M26" s="4">
        <v>3.3299999999999998E-19</v>
      </c>
      <c r="O26">
        <f>D26/B26</f>
        <v>0.12593164658325057</v>
      </c>
      <c r="P26">
        <f>D26/C26</f>
        <v>1.1272192898272553</v>
      </c>
      <c r="Q26">
        <f>C26/B26</f>
        <v>0.11171885339413362</v>
      </c>
    </row>
    <row r="27" spans="1:17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7" x14ac:dyDescent="0.2">
      <c r="A28" s="3" t="s">
        <v>16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7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7" x14ac:dyDescent="0.2">
      <c r="A30" s="3"/>
      <c r="B30" s="3" t="s">
        <v>1</v>
      </c>
      <c r="C30" s="3" t="s">
        <v>2</v>
      </c>
      <c r="D30" s="3" t="s">
        <v>3</v>
      </c>
      <c r="E30" s="3" t="s">
        <v>2</v>
      </c>
      <c r="F30" s="3"/>
      <c r="G30" s="3"/>
      <c r="H30" s="3"/>
      <c r="I30" s="3"/>
      <c r="J30" s="3"/>
      <c r="K30" s="3"/>
      <c r="L30" s="3"/>
      <c r="M30" s="3"/>
    </row>
    <row r="31" spans="1:17" x14ac:dyDescent="0.2">
      <c r="A31" s="3" t="s">
        <v>4</v>
      </c>
      <c r="B31" s="3" t="s">
        <v>5</v>
      </c>
      <c r="C31" s="3" t="s">
        <v>6</v>
      </c>
      <c r="D31" s="3" t="s">
        <v>7</v>
      </c>
      <c r="E31" s="3" t="s">
        <v>8</v>
      </c>
      <c r="F31" s="3" t="s">
        <v>9</v>
      </c>
      <c r="G31" s="3" t="s">
        <v>10</v>
      </c>
      <c r="H31" s="3" t="s">
        <v>5</v>
      </c>
      <c r="I31" s="3" t="s">
        <v>6</v>
      </c>
      <c r="J31" s="3" t="s">
        <v>7</v>
      </c>
      <c r="K31" s="3" t="s">
        <v>8</v>
      </c>
      <c r="L31" s="3" t="s">
        <v>9</v>
      </c>
      <c r="M31" s="3" t="s">
        <v>10</v>
      </c>
    </row>
    <row r="32" spans="1:17" x14ac:dyDescent="0.2">
      <c r="A32" s="3" t="s">
        <v>11</v>
      </c>
      <c r="B32" s="3">
        <v>0.49675900000000001</v>
      </c>
      <c r="C32" s="3">
        <v>8.8298000000000001E-2</v>
      </c>
      <c r="D32" s="3">
        <v>7.8136999999999998E-2</v>
      </c>
      <c r="E32" s="3">
        <v>2.6179000000000001E-2</v>
      </c>
      <c r="F32" s="3">
        <v>9.1450000000000004E-3</v>
      </c>
      <c r="G32" s="3">
        <v>0.121124</v>
      </c>
      <c r="H32" s="4">
        <v>1.48E-18</v>
      </c>
      <c r="I32" s="4">
        <v>2.8200000000000002E-19</v>
      </c>
      <c r="J32" s="4">
        <v>2.4899999999999998E-19</v>
      </c>
      <c r="K32" s="4">
        <v>8.3599999999999995E-20</v>
      </c>
      <c r="L32" s="4">
        <v>2.92E-20</v>
      </c>
      <c r="M32" s="4">
        <v>3.8699999999999999E-19</v>
      </c>
    </row>
    <row r="33" spans="1:17" x14ac:dyDescent="0.2">
      <c r="A33" s="3" t="s">
        <v>12</v>
      </c>
      <c r="B33" s="3">
        <v>0.36653200000000002</v>
      </c>
      <c r="C33" s="3">
        <v>7.553E-2</v>
      </c>
      <c r="D33" s="3">
        <v>5.6401E-2</v>
      </c>
      <c r="E33" s="3">
        <v>2.2987E-2</v>
      </c>
      <c r="F33" s="3">
        <v>9.1450000000000004E-3</v>
      </c>
      <c r="G33" s="3">
        <v>9.7457000000000002E-2</v>
      </c>
      <c r="H33" s="4">
        <v>1.0599999999999999E-18</v>
      </c>
      <c r="I33" s="4">
        <v>2.4100000000000001E-19</v>
      </c>
      <c r="J33" s="4">
        <v>1.8000000000000001E-19</v>
      </c>
      <c r="K33" s="4">
        <v>7.3400000000000005E-20</v>
      </c>
      <c r="L33" s="4">
        <v>2.92E-20</v>
      </c>
      <c r="M33" s="4">
        <v>3.1100000000000002E-19</v>
      </c>
    </row>
    <row r="34" spans="1:17" x14ac:dyDescent="0.2">
      <c r="A34" s="3" t="s">
        <v>13</v>
      </c>
      <c r="B34" s="3">
        <v>0.43712699999999999</v>
      </c>
      <c r="C34" s="3">
        <v>5.8577999999999998E-2</v>
      </c>
      <c r="D34" s="3">
        <v>5.2410999999999999E-2</v>
      </c>
      <c r="E34" s="3">
        <v>2.6417E-2</v>
      </c>
      <c r="F34" s="3">
        <v>9.1450000000000004E-3</v>
      </c>
      <c r="G34" s="3">
        <v>8.3424999999999999E-2</v>
      </c>
      <c r="H34" s="4">
        <v>1.2900000000000001E-18</v>
      </c>
      <c r="I34" s="4">
        <v>1.87E-19</v>
      </c>
      <c r="J34" s="4">
        <v>1.6700000000000001E-19</v>
      </c>
      <c r="K34" s="4">
        <v>8.4300000000000006E-20</v>
      </c>
      <c r="L34" s="4">
        <v>2.92E-20</v>
      </c>
      <c r="M34" s="4">
        <v>2.6600000000000002E-19</v>
      </c>
      <c r="O34">
        <f>D34/B34</f>
        <v>0.11989879371441252</v>
      </c>
      <c r="P34">
        <f>D34/C34</f>
        <v>0.89472156782409784</v>
      </c>
      <c r="Q34">
        <f>C34/B34</f>
        <v>0.13400682181608548</v>
      </c>
    </row>
    <row r="35" spans="1:17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7" x14ac:dyDescent="0.2">
      <c r="A36" s="3">
        <v>1</v>
      </c>
      <c r="B36" s="3" t="s">
        <v>26</v>
      </c>
      <c r="C36" s="3" t="s">
        <v>27</v>
      </c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7" x14ac:dyDescent="0.2">
      <c r="A37" s="3"/>
      <c r="B37" s="3">
        <v>10532577</v>
      </c>
      <c r="C37" s="3">
        <v>4547895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7" x14ac:dyDescent="0.2">
      <c r="A38" s="3" t="s">
        <v>0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7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7" x14ac:dyDescent="0.2">
      <c r="A40" s="3"/>
      <c r="B40" s="3" t="s">
        <v>1</v>
      </c>
      <c r="C40" s="3" t="s">
        <v>2</v>
      </c>
      <c r="D40" s="3" t="s">
        <v>3</v>
      </c>
      <c r="E40" s="3" t="s">
        <v>2</v>
      </c>
      <c r="F40" s="3"/>
      <c r="G40" s="3"/>
      <c r="H40" s="3"/>
      <c r="I40" s="3"/>
      <c r="J40" s="3"/>
      <c r="K40" s="3"/>
      <c r="L40" s="3"/>
      <c r="M40" s="3"/>
    </row>
    <row r="41" spans="1:17" x14ac:dyDescent="0.2">
      <c r="A41" s="3" t="s">
        <v>4</v>
      </c>
      <c r="B41" s="3" t="s">
        <v>5</v>
      </c>
      <c r="C41" s="3" t="s">
        <v>6</v>
      </c>
      <c r="D41" s="3" t="s">
        <v>7</v>
      </c>
      <c r="E41" s="3" t="s">
        <v>8</v>
      </c>
      <c r="F41" s="3" t="s">
        <v>9</v>
      </c>
      <c r="G41" s="3" t="s">
        <v>10</v>
      </c>
      <c r="H41" s="3" t="s">
        <v>5</v>
      </c>
      <c r="I41" s="3" t="s">
        <v>6</v>
      </c>
      <c r="J41" s="3" t="s">
        <v>7</v>
      </c>
      <c r="K41" s="3" t="s">
        <v>8</v>
      </c>
      <c r="L41" s="3" t="s">
        <v>9</v>
      </c>
      <c r="M41" s="3" t="s">
        <v>10</v>
      </c>
    </row>
    <row r="42" spans="1:17" x14ac:dyDescent="0.2">
      <c r="A42" s="3" t="s">
        <v>11</v>
      </c>
      <c r="B42" s="3">
        <v>0.525285</v>
      </c>
      <c r="C42" s="3">
        <v>0.119185</v>
      </c>
      <c r="D42" s="3">
        <v>6.2882999999999994E-2</v>
      </c>
      <c r="E42" s="3">
        <v>3.5799999999999998E-2</v>
      </c>
      <c r="F42" s="3">
        <v>7.2979999999999998E-3</v>
      </c>
      <c r="G42" s="3">
        <v>0.139622</v>
      </c>
      <c r="H42" s="4">
        <v>1.6099999999999999E-18</v>
      </c>
      <c r="I42" s="4">
        <v>3.8E-19</v>
      </c>
      <c r="J42" s="4">
        <v>2.01E-19</v>
      </c>
      <c r="K42" s="4">
        <v>1.14E-19</v>
      </c>
      <c r="L42" s="4">
        <v>2.33E-20</v>
      </c>
      <c r="M42" s="4">
        <v>4.4599999999999998E-19</v>
      </c>
    </row>
    <row r="43" spans="1:17" x14ac:dyDescent="0.2">
      <c r="A43" s="3" t="s">
        <v>12</v>
      </c>
      <c r="B43" s="3">
        <v>4.9505E-2</v>
      </c>
      <c r="C43" s="3">
        <v>0.118981</v>
      </c>
      <c r="D43" s="3">
        <v>3.7155000000000001E-2</v>
      </c>
      <c r="E43" s="3">
        <v>-8.0630000000000007E-3</v>
      </c>
      <c r="F43" s="3">
        <v>7.2979999999999998E-3</v>
      </c>
      <c r="G43" s="3">
        <v>0.12512100000000001</v>
      </c>
      <c r="H43" s="4">
        <v>8.7200000000000006E-20</v>
      </c>
      <c r="I43" s="4">
        <v>3.8E-19</v>
      </c>
      <c r="J43" s="4">
        <v>1.19E-19</v>
      </c>
      <c r="K43" s="4">
        <v>-2.5699999999999999E-20</v>
      </c>
      <c r="L43" s="4">
        <v>2.33E-20</v>
      </c>
      <c r="M43" s="4">
        <v>3.9900000000000001E-19</v>
      </c>
    </row>
    <row r="44" spans="1:17" x14ac:dyDescent="0.2">
      <c r="A44" s="3" t="s">
        <v>13</v>
      </c>
      <c r="B44" s="3">
        <v>0.291825</v>
      </c>
      <c r="C44" s="3">
        <v>8.4360000000000004E-2</v>
      </c>
      <c r="D44" s="5">
        <v>3.0724999999999999E-2</v>
      </c>
      <c r="E44" s="5">
        <v>1.3308E-2</v>
      </c>
      <c r="F44" s="5">
        <v>7.2979999999999998E-3</v>
      </c>
      <c r="G44" s="5">
        <v>9.1054999999999997E-2</v>
      </c>
      <c r="H44" s="4">
        <v>8.6099999999999998E-19</v>
      </c>
      <c r="I44" s="4">
        <v>2.6900000000000002E-19</v>
      </c>
      <c r="J44" s="4">
        <v>9.8099999999999995E-20</v>
      </c>
      <c r="K44" s="4">
        <v>4.2500000000000003E-20</v>
      </c>
      <c r="L44" s="4">
        <v>2.33E-20</v>
      </c>
      <c r="M44" s="4">
        <v>2.9099999999999998E-19</v>
      </c>
      <c r="O44">
        <f>D44/B44</f>
        <v>0.10528570204745995</v>
      </c>
      <c r="P44">
        <f>D44/C44</f>
        <v>0.36421289710763394</v>
      </c>
      <c r="Q44">
        <f>C44/B44</f>
        <v>0.28907735800565409</v>
      </c>
    </row>
    <row r="45" spans="1:17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7" x14ac:dyDescent="0.2">
      <c r="A46" s="3" t="s">
        <v>14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7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7" x14ac:dyDescent="0.2">
      <c r="A48" s="3"/>
      <c r="B48" s="3" t="s">
        <v>1</v>
      </c>
      <c r="C48" s="3" t="s">
        <v>2</v>
      </c>
      <c r="D48" s="3" t="s">
        <v>3</v>
      </c>
      <c r="E48" s="3" t="s">
        <v>2</v>
      </c>
      <c r="F48" s="3"/>
      <c r="G48" s="3"/>
      <c r="H48" s="3"/>
      <c r="I48" s="3"/>
      <c r="J48" s="3"/>
      <c r="K48" s="3"/>
      <c r="L48" s="3"/>
      <c r="M48" s="3"/>
    </row>
    <row r="49" spans="1:17" x14ac:dyDescent="0.2">
      <c r="A49" s="3" t="s">
        <v>4</v>
      </c>
      <c r="B49" s="3" t="s">
        <v>5</v>
      </c>
      <c r="C49" s="3" t="s">
        <v>6</v>
      </c>
      <c r="D49" s="3" t="s">
        <v>7</v>
      </c>
      <c r="E49" s="3" t="s">
        <v>8</v>
      </c>
      <c r="F49" s="3" t="s">
        <v>9</v>
      </c>
      <c r="G49" s="3" t="s">
        <v>10</v>
      </c>
      <c r="H49" s="3" t="s">
        <v>5</v>
      </c>
      <c r="I49" s="3" t="s">
        <v>6</v>
      </c>
      <c r="J49" s="3" t="s">
        <v>7</v>
      </c>
      <c r="K49" s="3" t="s">
        <v>8</v>
      </c>
      <c r="L49" s="3" t="s">
        <v>9</v>
      </c>
      <c r="M49" s="3" t="s">
        <v>10</v>
      </c>
    </row>
    <row r="50" spans="1:17" x14ac:dyDescent="0.2">
      <c r="A50" s="3" t="s">
        <v>11</v>
      </c>
      <c r="B50" s="3">
        <v>0.307668</v>
      </c>
      <c r="C50" s="3">
        <v>0.101786</v>
      </c>
      <c r="D50" s="3">
        <v>3.7595999999999997E-2</v>
      </c>
      <c r="E50" s="3">
        <v>1.6945999999999999E-2</v>
      </c>
      <c r="F50" s="3">
        <v>8.1720000000000004E-3</v>
      </c>
      <c r="G50" s="3">
        <v>0.110126</v>
      </c>
      <c r="H50" s="4">
        <v>9.0999999999999997E-19</v>
      </c>
      <c r="I50" s="4">
        <v>3.25E-19</v>
      </c>
      <c r="J50" s="4">
        <v>1.2000000000000001E-19</v>
      </c>
      <c r="K50" s="4">
        <v>5.4100000000000002E-20</v>
      </c>
      <c r="L50" s="4">
        <v>2.61E-20</v>
      </c>
      <c r="M50" s="4">
        <v>3.5199999999999999E-19</v>
      </c>
    </row>
    <row r="51" spans="1:17" x14ac:dyDescent="0.2">
      <c r="A51" s="3" t="s">
        <v>12</v>
      </c>
      <c r="B51" s="3">
        <v>0.23244100000000001</v>
      </c>
      <c r="C51" s="3">
        <v>0.10175099999999999</v>
      </c>
      <c r="D51" s="3">
        <v>4.2040000000000001E-2</v>
      </c>
      <c r="E51" s="3">
        <v>-3.7309999999999999E-3</v>
      </c>
      <c r="F51" s="3">
        <v>8.1720000000000004E-3</v>
      </c>
      <c r="G51" s="3">
        <v>0.110459</v>
      </c>
      <c r="H51" s="4">
        <v>6.6899999999999996E-19</v>
      </c>
      <c r="I51" s="4">
        <v>3.25E-19</v>
      </c>
      <c r="J51" s="4">
        <v>1.3399999999999999E-19</v>
      </c>
      <c r="K51" s="4">
        <v>-1.1899999999999999E-20</v>
      </c>
      <c r="L51" s="4">
        <v>2.61E-20</v>
      </c>
      <c r="M51" s="4">
        <v>3.5300000000000002E-19</v>
      </c>
    </row>
    <row r="52" spans="1:17" x14ac:dyDescent="0.2">
      <c r="A52" s="3" t="s">
        <v>13</v>
      </c>
      <c r="B52" s="3">
        <v>0.27193699999999998</v>
      </c>
      <c r="C52" s="3">
        <v>7.2087999999999999E-2</v>
      </c>
      <c r="D52" s="3">
        <v>2.8122000000000001E-2</v>
      </c>
      <c r="E52" s="3">
        <v>6.7460000000000003E-3</v>
      </c>
      <c r="F52" s="3">
        <v>8.1720000000000004E-3</v>
      </c>
      <c r="G52" s="3">
        <v>7.8101000000000004E-2</v>
      </c>
      <c r="H52" s="4">
        <v>7.9600000000000004E-19</v>
      </c>
      <c r="I52" s="4">
        <v>2.2999999999999998E-19</v>
      </c>
      <c r="J52" s="4">
        <v>8.9799999999999996E-20</v>
      </c>
      <c r="K52" s="4">
        <v>2.1500000000000001E-20</v>
      </c>
      <c r="L52" s="4">
        <v>2.61E-20</v>
      </c>
      <c r="M52" s="4">
        <v>2.4899999999999998E-19</v>
      </c>
      <c r="O52">
        <f>D52/B52</f>
        <v>0.10341365831056459</v>
      </c>
      <c r="P52">
        <f>D52/C52</f>
        <v>0.39010653645544335</v>
      </c>
      <c r="Q52">
        <f>C52/B52</f>
        <v>0.26509081147471658</v>
      </c>
    </row>
    <row r="53" spans="1:17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7" x14ac:dyDescent="0.2">
      <c r="A54" s="3" t="s">
        <v>15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7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7" x14ac:dyDescent="0.2">
      <c r="A56" s="3"/>
      <c r="B56" s="3" t="s">
        <v>1</v>
      </c>
      <c r="C56" s="3" t="s">
        <v>2</v>
      </c>
      <c r="D56" s="3" t="s">
        <v>3</v>
      </c>
      <c r="E56" s="3" t="s">
        <v>2</v>
      </c>
      <c r="F56" s="3"/>
      <c r="G56" s="3"/>
      <c r="H56" s="3"/>
      <c r="I56" s="3"/>
      <c r="J56" s="3"/>
      <c r="K56" s="3"/>
      <c r="L56" s="3"/>
      <c r="M56" s="3"/>
    </row>
    <row r="57" spans="1:17" x14ac:dyDescent="0.2">
      <c r="A57" s="3" t="s">
        <v>4</v>
      </c>
      <c r="B57" s="3" t="s">
        <v>5</v>
      </c>
      <c r="C57" s="3" t="s">
        <v>6</v>
      </c>
      <c r="D57" s="3" t="s">
        <v>7</v>
      </c>
      <c r="E57" s="3" t="s">
        <v>8</v>
      </c>
      <c r="F57" s="3" t="s">
        <v>9</v>
      </c>
      <c r="G57" s="3" t="s">
        <v>10</v>
      </c>
      <c r="H57" s="3" t="s">
        <v>5</v>
      </c>
      <c r="I57" s="3" t="s">
        <v>6</v>
      </c>
      <c r="J57" s="3" t="s">
        <v>7</v>
      </c>
      <c r="K57" s="3" t="s">
        <v>8</v>
      </c>
      <c r="L57" s="3" t="s">
        <v>9</v>
      </c>
      <c r="M57" s="3" t="s">
        <v>10</v>
      </c>
    </row>
    <row r="58" spans="1:17" x14ac:dyDescent="0.2">
      <c r="A58" s="3" t="s">
        <v>11</v>
      </c>
      <c r="B58" s="3">
        <v>0.62783900000000004</v>
      </c>
      <c r="C58" s="3">
        <v>8.3499000000000004E-2</v>
      </c>
      <c r="D58" s="3">
        <v>6.9019999999999998E-2</v>
      </c>
      <c r="E58" s="3">
        <v>3.9530999999999997E-2</v>
      </c>
      <c r="F58" s="3">
        <v>8.2430000000000003E-3</v>
      </c>
      <c r="G58" s="3">
        <v>0.11561299999999999</v>
      </c>
      <c r="H58" s="4">
        <v>1.9099999999999999E-18</v>
      </c>
      <c r="I58" s="4">
        <v>2.67E-19</v>
      </c>
      <c r="J58" s="4">
        <v>2.1999999999999998E-19</v>
      </c>
      <c r="K58" s="4">
        <v>1.2599999999999999E-19</v>
      </c>
      <c r="L58" s="4">
        <v>2.63E-20</v>
      </c>
      <c r="M58" s="4">
        <v>3.6900000000000002E-19</v>
      </c>
    </row>
    <row r="59" spans="1:17" x14ac:dyDescent="0.2">
      <c r="A59" s="3" t="s">
        <v>12</v>
      </c>
      <c r="B59" s="3">
        <v>0.43242700000000001</v>
      </c>
      <c r="C59" s="3">
        <v>8.4199999999999997E-2</v>
      </c>
      <c r="D59" s="3">
        <v>6.1268999999999997E-2</v>
      </c>
      <c r="E59" s="3">
        <v>8.9689999999999995E-3</v>
      </c>
      <c r="F59" s="3">
        <v>8.2430000000000003E-3</v>
      </c>
      <c r="G59" s="3">
        <v>0.104842</v>
      </c>
      <c r="H59" s="4">
        <v>1.2900000000000001E-18</v>
      </c>
      <c r="I59" s="4">
        <v>2.6900000000000002E-19</v>
      </c>
      <c r="J59" s="4">
        <v>1.9600000000000001E-19</v>
      </c>
      <c r="K59" s="4">
        <v>2.8599999999999999E-20</v>
      </c>
      <c r="L59" s="4">
        <v>2.63E-20</v>
      </c>
      <c r="M59" s="4">
        <v>3.35E-19</v>
      </c>
    </row>
    <row r="60" spans="1:17" x14ac:dyDescent="0.2">
      <c r="A60" s="3" t="s">
        <v>13</v>
      </c>
      <c r="B60" s="3">
        <v>0.53756400000000004</v>
      </c>
      <c r="C60" s="3">
        <v>5.9378E-2</v>
      </c>
      <c r="D60" s="3">
        <v>4.7557000000000002E-2</v>
      </c>
      <c r="E60" s="3">
        <v>2.4746000000000001E-2</v>
      </c>
      <c r="F60" s="3">
        <v>8.2430000000000003E-3</v>
      </c>
      <c r="G60" s="3">
        <v>8.0421999999999993E-2</v>
      </c>
      <c r="H60" s="4">
        <v>1.62E-18</v>
      </c>
      <c r="I60" s="4">
        <v>1.9E-19</v>
      </c>
      <c r="J60" s="4">
        <v>1.5199999999999999E-19</v>
      </c>
      <c r="K60" s="4">
        <v>7.8999999999999999E-20</v>
      </c>
      <c r="L60" s="4">
        <v>2.63E-20</v>
      </c>
      <c r="M60" s="4">
        <v>2.5700000000000001E-19</v>
      </c>
      <c r="O60">
        <f>D60/B60</f>
        <v>8.8467605717644782E-2</v>
      </c>
      <c r="P60">
        <f>D60/C60</f>
        <v>0.80091953248677961</v>
      </c>
      <c r="Q60">
        <f>C60/B60</f>
        <v>0.11045754552016131</v>
      </c>
    </row>
    <row r="61" spans="1:17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7" x14ac:dyDescent="0.2">
      <c r="A62" s="3" t="s">
        <v>16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7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7" x14ac:dyDescent="0.2">
      <c r="A64" s="3"/>
      <c r="B64" s="3" t="s">
        <v>1</v>
      </c>
      <c r="C64" s="3" t="s">
        <v>2</v>
      </c>
      <c r="D64" s="3" t="s">
        <v>3</v>
      </c>
      <c r="E64" s="3" t="s">
        <v>2</v>
      </c>
      <c r="F64" s="3"/>
      <c r="G64" s="3"/>
      <c r="H64" s="3"/>
      <c r="I64" s="3"/>
      <c r="J64" s="3"/>
      <c r="K64" s="3"/>
      <c r="L64" s="3"/>
      <c r="M64" s="3"/>
    </row>
    <row r="65" spans="1:17" x14ac:dyDescent="0.2">
      <c r="A65" s="3" t="s">
        <v>4</v>
      </c>
      <c r="B65" s="3" t="s">
        <v>5</v>
      </c>
      <c r="C65" s="3" t="s">
        <v>6</v>
      </c>
      <c r="D65" s="3" t="s">
        <v>7</v>
      </c>
      <c r="E65" s="3" t="s">
        <v>8</v>
      </c>
      <c r="F65" s="3" t="s">
        <v>9</v>
      </c>
      <c r="G65" s="3" t="s">
        <v>10</v>
      </c>
      <c r="H65" s="3" t="s">
        <v>5</v>
      </c>
      <c r="I65" s="3" t="s">
        <v>6</v>
      </c>
      <c r="J65" s="3" t="s">
        <v>7</v>
      </c>
      <c r="K65" s="3" t="s">
        <v>8</v>
      </c>
      <c r="L65" s="3" t="s">
        <v>9</v>
      </c>
      <c r="M65" s="3" t="s">
        <v>10</v>
      </c>
    </row>
    <row r="66" spans="1:17" x14ac:dyDescent="0.2">
      <c r="A66" s="3" t="s">
        <v>11</v>
      </c>
      <c r="B66" s="3">
        <v>0.42174400000000001</v>
      </c>
      <c r="C66" s="3">
        <v>7.3241000000000001E-2</v>
      </c>
      <c r="D66" s="3">
        <v>5.1234000000000002E-2</v>
      </c>
      <c r="E66" s="3">
        <v>2.4441999999999998E-2</v>
      </c>
      <c r="F66" s="3">
        <v>9.1450000000000004E-3</v>
      </c>
      <c r="G66" s="3">
        <v>9.3114000000000002E-2</v>
      </c>
      <c r="H66" s="4">
        <v>1.24E-18</v>
      </c>
      <c r="I66" s="4">
        <v>2.3400000000000002E-19</v>
      </c>
      <c r="J66" s="4">
        <v>1.64E-19</v>
      </c>
      <c r="K66" s="4">
        <v>7.8000000000000001E-20</v>
      </c>
      <c r="L66" s="4">
        <v>2.92E-20</v>
      </c>
      <c r="M66" s="4">
        <v>2.9699999999999999E-19</v>
      </c>
    </row>
    <row r="67" spans="1:17" x14ac:dyDescent="0.2">
      <c r="A67" s="3" t="s">
        <v>12</v>
      </c>
      <c r="B67" s="3">
        <v>0.35405700000000001</v>
      </c>
      <c r="C67" s="3">
        <v>7.3905999999999999E-2</v>
      </c>
      <c r="D67" s="3">
        <v>4.4796999999999997E-2</v>
      </c>
      <c r="E67" s="3">
        <v>2.2241E-2</v>
      </c>
      <c r="F67" s="3">
        <v>9.1450000000000004E-3</v>
      </c>
      <c r="G67" s="3">
        <v>8.9704999999999993E-2</v>
      </c>
      <c r="H67" s="4">
        <v>1.02E-18</v>
      </c>
      <c r="I67" s="4">
        <v>2.3599999999999999E-19</v>
      </c>
      <c r="J67" s="4">
        <v>1.43E-19</v>
      </c>
      <c r="K67" s="4">
        <v>7.0999999999999998E-20</v>
      </c>
      <c r="L67" s="4">
        <v>2.92E-20</v>
      </c>
      <c r="M67" s="4">
        <v>2.8600000000000001E-19</v>
      </c>
    </row>
    <row r="68" spans="1:17" x14ac:dyDescent="0.2">
      <c r="A68" s="3" t="s">
        <v>13</v>
      </c>
      <c r="B68" s="3">
        <v>0.38217600000000002</v>
      </c>
      <c r="C68" s="3">
        <v>5.21E-2</v>
      </c>
      <c r="D68" s="3">
        <v>3.2939000000000003E-2</v>
      </c>
      <c r="E68" s="3">
        <v>2.2595000000000001E-2</v>
      </c>
      <c r="F68" s="3">
        <v>9.1450000000000004E-3</v>
      </c>
      <c r="G68" s="3">
        <v>6.6283999999999996E-2</v>
      </c>
      <c r="H68" s="4">
        <v>1.1100000000000001E-18</v>
      </c>
      <c r="I68" s="4">
        <v>1.66E-19</v>
      </c>
      <c r="J68" s="4">
        <v>1.0499999999999999E-19</v>
      </c>
      <c r="K68" s="4">
        <v>7.2099999999999998E-20</v>
      </c>
      <c r="L68" s="4">
        <v>2.92E-20</v>
      </c>
      <c r="M68" s="4">
        <v>2.1200000000000001E-19</v>
      </c>
      <c r="O68">
        <f>D68/B68</f>
        <v>8.618803901867203E-2</v>
      </c>
      <c r="P68">
        <f>D68/C68</f>
        <v>0.63222648752399235</v>
      </c>
      <c r="Q68">
        <f>C68/B68</f>
        <v>0.13632462530352507</v>
      </c>
    </row>
    <row r="69" spans="1:17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7" x14ac:dyDescent="0.2">
      <c r="A70" s="3">
        <v>2</v>
      </c>
      <c r="B70" s="3" t="s">
        <v>26</v>
      </c>
      <c r="C70" s="3" t="s">
        <v>27</v>
      </c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7" x14ac:dyDescent="0.2">
      <c r="A71" s="3"/>
      <c r="B71" s="3">
        <v>14827887</v>
      </c>
      <c r="C71" s="3">
        <v>6404052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7" x14ac:dyDescent="0.2">
      <c r="A72" s="3" t="s">
        <v>0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7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7" x14ac:dyDescent="0.2">
      <c r="A74" s="3"/>
      <c r="B74" s="3" t="s">
        <v>1</v>
      </c>
      <c r="C74" s="3" t="s">
        <v>2</v>
      </c>
      <c r="D74" s="3" t="s">
        <v>3</v>
      </c>
      <c r="E74" s="3" t="s">
        <v>2</v>
      </c>
      <c r="F74" s="3"/>
      <c r="G74" s="3"/>
      <c r="H74" s="3"/>
      <c r="I74" s="3"/>
      <c r="J74" s="3"/>
      <c r="K74" s="3"/>
      <c r="L74" s="3"/>
      <c r="M74" s="3"/>
    </row>
    <row r="75" spans="1:17" x14ac:dyDescent="0.2">
      <c r="A75" s="3" t="s">
        <v>4</v>
      </c>
      <c r="B75" s="3" t="s">
        <v>5</v>
      </c>
      <c r="C75" s="3" t="s">
        <v>6</v>
      </c>
      <c r="D75" s="3" t="s">
        <v>7</v>
      </c>
      <c r="E75" s="3" t="s">
        <v>8</v>
      </c>
      <c r="F75" s="3" t="s">
        <v>9</v>
      </c>
      <c r="G75" s="3" t="s">
        <v>10</v>
      </c>
      <c r="H75" s="3" t="s">
        <v>5</v>
      </c>
      <c r="I75" s="3" t="s">
        <v>6</v>
      </c>
      <c r="J75" s="3" t="s">
        <v>7</v>
      </c>
      <c r="K75" s="3" t="s">
        <v>8</v>
      </c>
      <c r="L75" s="3" t="s">
        <v>9</v>
      </c>
      <c r="M75" s="3" t="s">
        <v>10</v>
      </c>
    </row>
    <row r="76" spans="1:17" x14ac:dyDescent="0.2">
      <c r="A76" s="3" t="s">
        <v>11</v>
      </c>
      <c r="B76" s="3">
        <v>0.47037400000000001</v>
      </c>
      <c r="C76" s="3">
        <v>0.107986</v>
      </c>
      <c r="D76" s="3">
        <v>4.6154000000000001E-2</v>
      </c>
      <c r="E76" s="3">
        <v>3.2901E-2</v>
      </c>
      <c r="F76" s="3">
        <v>7.2979999999999998E-3</v>
      </c>
      <c r="G76" s="3">
        <v>0.12217500000000001</v>
      </c>
      <c r="H76" s="4">
        <v>1.4300000000000001E-18</v>
      </c>
      <c r="I76" s="4">
        <v>3.4499999999999999E-19</v>
      </c>
      <c r="J76" s="4">
        <v>1.4699999999999999E-19</v>
      </c>
      <c r="K76" s="4">
        <v>1.0499999999999999E-19</v>
      </c>
      <c r="L76" s="4">
        <v>2.33E-20</v>
      </c>
      <c r="M76" s="4">
        <v>3.9E-19</v>
      </c>
    </row>
    <row r="77" spans="1:17" x14ac:dyDescent="0.2">
      <c r="A77" s="3" t="s">
        <v>12</v>
      </c>
      <c r="B77" s="3">
        <v>5.0056000000000003E-2</v>
      </c>
      <c r="C77" s="3">
        <v>0.112884</v>
      </c>
      <c r="D77" s="3">
        <v>2.8119000000000002E-2</v>
      </c>
      <c r="E77" s="3">
        <v>-6.0689999999999997E-3</v>
      </c>
      <c r="F77" s="3">
        <v>7.2979999999999998E-3</v>
      </c>
      <c r="G77" s="3">
        <v>0.11672</v>
      </c>
      <c r="H77" s="4">
        <v>8.8900000000000002E-20</v>
      </c>
      <c r="I77" s="4">
        <v>3.6000000000000001E-19</v>
      </c>
      <c r="J77" s="4">
        <v>8.9799999999999996E-20</v>
      </c>
      <c r="K77" s="4">
        <v>-1.94E-20</v>
      </c>
      <c r="L77" s="4">
        <v>2.33E-20</v>
      </c>
      <c r="M77" s="4">
        <v>3.7300000000000001E-19</v>
      </c>
    </row>
    <row r="78" spans="1:17" x14ac:dyDescent="0.2">
      <c r="A78" s="3" t="s">
        <v>13</v>
      </c>
      <c r="B78" s="3">
        <v>0.28095300000000001</v>
      </c>
      <c r="C78" s="3">
        <v>7.8496999999999997E-2</v>
      </c>
      <c r="D78" s="5">
        <v>2.2594E-2</v>
      </c>
      <c r="E78" s="5">
        <v>1.6150999999999999E-2</v>
      </c>
      <c r="F78" s="5">
        <v>7.2979999999999998E-3</v>
      </c>
      <c r="G78" s="5">
        <v>8.3585000000000007E-2</v>
      </c>
      <c r="H78" s="4">
        <v>8.2599999999999998E-19</v>
      </c>
      <c r="I78" s="4">
        <v>2.51E-19</v>
      </c>
      <c r="J78" s="4">
        <v>7.2099999999999998E-20</v>
      </c>
      <c r="K78" s="4">
        <v>5.1599999999999998E-20</v>
      </c>
      <c r="L78" s="4">
        <v>2.33E-20</v>
      </c>
      <c r="M78" s="4">
        <v>2.67E-19</v>
      </c>
      <c r="O78">
        <f>D78/B78</f>
        <v>8.0419144839172382E-2</v>
      </c>
      <c r="P78">
        <f>D78/C78</f>
        <v>0.28783265602507102</v>
      </c>
      <c r="Q78">
        <f>C78/B78</f>
        <v>0.27939548607774251</v>
      </c>
    </row>
    <row r="79" spans="1:17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7" x14ac:dyDescent="0.2">
      <c r="A80" s="3" t="s">
        <v>14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7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7" x14ac:dyDescent="0.2">
      <c r="A82" s="3"/>
      <c r="B82" s="3" t="s">
        <v>1</v>
      </c>
      <c r="C82" s="3" t="s">
        <v>2</v>
      </c>
      <c r="D82" s="3" t="s">
        <v>3</v>
      </c>
      <c r="E82" s="3" t="s">
        <v>2</v>
      </c>
      <c r="F82" s="3"/>
      <c r="G82" s="3"/>
      <c r="H82" s="3"/>
      <c r="I82" s="3"/>
      <c r="J82" s="3"/>
      <c r="K82" s="3"/>
      <c r="L82" s="3"/>
      <c r="M82" s="3"/>
    </row>
    <row r="83" spans="1:17" x14ac:dyDescent="0.2">
      <c r="A83" s="3" t="s">
        <v>4</v>
      </c>
      <c r="B83" s="3" t="s">
        <v>5</v>
      </c>
      <c r="C83" s="3" t="s">
        <v>6</v>
      </c>
      <c r="D83" s="3" t="s">
        <v>7</v>
      </c>
      <c r="E83" s="3" t="s">
        <v>8</v>
      </c>
      <c r="F83" s="3" t="s">
        <v>9</v>
      </c>
      <c r="G83" s="3" t="s">
        <v>10</v>
      </c>
      <c r="H83" s="3" t="s">
        <v>5</v>
      </c>
      <c r="I83" s="3" t="s">
        <v>6</v>
      </c>
      <c r="J83" s="3" t="s">
        <v>7</v>
      </c>
      <c r="K83" s="3" t="s">
        <v>8</v>
      </c>
      <c r="L83" s="3" t="s">
        <v>9</v>
      </c>
      <c r="M83" s="3" t="s">
        <v>10</v>
      </c>
    </row>
    <row r="84" spans="1:17" x14ac:dyDescent="0.2">
      <c r="A84" s="3" t="s">
        <v>11</v>
      </c>
      <c r="B84" s="3">
        <v>0.27202500000000002</v>
      </c>
      <c r="C84" s="3">
        <v>9.2216000000000006E-2</v>
      </c>
      <c r="D84" s="3">
        <v>2.6512000000000001E-2</v>
      </c>
      <c r="E84" s="3">
        <v>1.5582E-2</v>
      </c>
      <c r="F84" s="3">
        <v>8.1720000000000004E-3</v>
      </c>
      <c r="G84" s="3">
        <v>9.7550999999999999E-2</v>
      </c>
      <c r="H84" s="4">
        <v>7.9600000000000004E-19</v>
      </c>
      <c r="I84" s="4">
        <v>2.9399999999999999E-19</v>
      </c>
      <c r="J84" s="4">
        <v>8.4600000000000004E-20</v>
      </c>
      <c r="K84" s="4">
        <v>4.9700000000000001E-20</v>
      </c>
      <c r="L84" s="4">
        <v>2.61E-20</v>
      </c>
      <c r="M84" s="4">
        <v>3.1100000000000002E-19</v>
      </c>
    </row>
    <row r="85" spans="1:17" x14ac:dyDescent="0.2">
      <c r="A85" s="3" t="s">
        <v>12</v>
      </c>
      <c r="B85" s="3">
        <v>0.23291400000000001</v>
      </c>
      <c r="C85" s="3">
        <v>9.6512000000000001E-2</v>
      </c>
      <c r="D85" s="3">
        <v>3.2271000000000001E-2</v>
      </c>
      <c r="E85" s="3">
        <v>1.797E-3</v>
      </c>
      <c r="F85" s="3">
        <v>8.1720000000000004E-3</v>
      </c>
      <c r="G85" s="3">
        <v>0.102108</v>
      </c>
      <c r="H85" s="4">
        <v>6.7100000000000003E-19</v>
      </c>
      <c r="I85" s="4">
        <v>3.0800000000000002E-19</v>
      </c>
      <c r="J85" s="4">
        <v>1.03E-19</v>
      </c>
      <c r="K85" s="4">
        <v>5.7399999999999999E-21</v>
      </c>
      <c r="L85" s="4">
        <v>2.61E-20</v>
      </c>
      <c r="M85" s="4">
        <v>3.2599999999999999E-19</v>
      </c>
    </row>
    <row r="86" spans="1:17" x14ac:dyDescent="0.2">
      <c r="A86" s="3" t="s">
        <v>13</v>
      </c>
      <c r="B86" s="3">
        <v>0.25904100000000002</v>
      </c>
      <c r="C86" s="3">
        <v>6.7072000000000007E-2</v>
      </c>
      <c r="D86" s="3">
        <v>2.0451E-2</v>
      </c>
      <c r="E86" s="3">
        <v>9.8469999999999999E-3</v>
      </c>
      <c r="F86" s="3">
        <v>8.1720000000000004E-3</v>
      </c>
      <c r="G86" s="3">
        <v>7.1278999999999995E-2</v>
      </c>
      <c r="H86" s="4">
        <v>7.5399999999999999E-19</v>
      </c>
      <c r="I86" s="4">
        <v>2.14E-19</v>
      </c>
      <c r="J86" s="4">
        <v>6.5300000000000001E-20</v>
      </c>
      <c r="K86" s="4">
        <v>3.1400000000000001E-20</v>
      </c>
      <c r="L86" s="4">
        <v>2.61E-20</v>
      </c>
      <c r="M86" s="4">
        <v>2.2800000000000001E-19</v>
      </c>
      <c r="O86">
        <f>D86/B86</f>
        <v>7.8948892260298553E-2</v>
      </c>
      <c r="P86">
        <f>D86/C86</f>
        <v>0.30491114026717553</v>
      </c>
      <c r="Q86">
        <f>C86/B86</f>
        <v>0.25892426295451298</v>
      </c>
    </row>
    <row r="87" spans="1:17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7" x14ac:dyDescent="0.2">
      <c r="A88" s="3" t="s">
        <v>15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7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7" x14ac:dyDescent="0.2">
      <c r="A90" s="3"/>
      <c r="B90" s="3" t="s">
        <v>1</v>
      </c>
      <c r="C90" s="3" t="s">
        <v>2</v>
      </c>
      <c r="D90" s="3" t="s">
        <v>3</v>
      </c>
      <c r="E90" s="3" t="s">
        <v>2</v>
      </c>
      <c r="F90" s="3"/>
      <c r="G90" s="3"/>
      <c r="H90" s="3"/>
      <c r="I90" s="3"/>
      <c r="J90" s="3"/>
      <c r="K90" s="3"/>
      <c r="L90" s="3"/>
      <c r="M90" s="3"/>
    </row>
    <row r="91" spans="1:17" x14ac:dyDescent="0.2">
      <c r="A91" s="3" t="s">
        <v>4</v>
      </c>
      <c r="B91" s="3" t="s">
        <v>5</v>
      </c>
      <c r="C91" s="3" t="s">
        <v>6</v>
      </c>
      <c r="D91" s="3" t="s">
        <v>7</v>
      </c>
      <c r="E91" s="3" t="s">
        <v>8</v>
      </c>
      <c r="F91" s="3" t="s">
        <v>9</v>
      </c>
      <c r="G91" s="3" t="s">
        <v>10</v>
      </c>
      <c r="H91" s="3" t="s">
        <v>5</v>
      </c>
      <c r="I91" s="3" t="s">
        <v>6</v>
      </c>
      <c r="J91" s="3" t="s">
        <v>7</v>
      </c>
      <c r="K91" s="3" t="s">
        <v>8</v>
      </c>
      <c r="L91" s="3" t="s">
        <v>9</v>
      </c>
      <c r="M91" s="3" t="s">
        <v>10</v>
      </c>
    </row>
    <row r="92" spans="1:17" x14ac:dyDescent="0.2">
      <c r="A92" s="3" t="s">
        <v>11</v>
      </c>
      <c r="B92" s="3">
        <v>0.56061399999999995</v>
      </c>
      <c r="C92" s="3">
        <v>7.5610999999999998E-2</v>
      </c>
      <c r="D92" s="3">
        <v>5.0750000000000003E-2</v>
      </c>
      <c r="E92" s="3">
        <v>3.6531000000000001E-2</v>
      </c>
      <c r="F92" s="3">
        <v>8.2430000000000003E-3</v>
      </c>
      <c r="G92" s="3">
        <v>9.8463999999999996E-2</v>
      </c>
      <c r="H92" s="4">
        <v>1.7E-18</v>
      </c>
      <c r="I92" s="4">
        <v>2.4100000000000001E-19</v>
      </c>
      <c r="J92" s="4">
        <v>1.6200000000000001E-19</v>
      </c>
      <c r="K92" s="4">
        <v>1.1700000000000001E-19</v>
      </c>
      <c r="L92" s="4">
        <v>2.63E-20</v>
      </c>
      <c r="M92" s="4">
        <v>3.1400000000000002E-19</v>
      </c>
    </row>
    <row r="93" spans="1:17" x14ac:dyDescent="0.2">
      <c r="A93" s="3" t="s">
        <v>12</v>
      </c>
      <c r="B93" s="3">
        <v>0.446432</v>
      </c>
      <c r="C93" s="3">
        <v>7.9866999999999994E-2</v>
      </c>
      <c r="D93" s="3">
        <v>4.6469000000000003E-2</v>
      </c>
      <c r="E93" s="3">
        <v>1.9181E-2</v>
      </c>
      <c r="F93" s="3">
        <v>8.2430000000000003E-3</v>
      </c>
      <c r="G93" s="3">
        <v>9.4730999999999996E-2</v>
      </c>
      <c r="H93" s="4">
        <v>1.33E-18</v>
      </c>
      <c r="I93" s="4">
        <v>2.5499999999999999E-19</v>
      </c>
      <c r="J93" s="4">
        <v>1.48E-19</v>
      </c>
      <c r="K93" s="4">
        <v>6.1199999999999997E-20</v>
      </c>
      <c r="L93" s="4">
        <v>2.63E-20</v>
      </c>
      <c r="M93" s="4">
        <v>3.0200000000000001E-19</v>
      </c>
    </row>
    <row r="94" spans="1:17" x14ac:dyDescent="0.2">
      <c r="A94" s="3" t="s">
        <v>13</v>
      </c>
      <c r="B94" s="3">
        <v>0.51302300000000001</v>
      </c>
      <c r="C94" s="3">
        <v>5.5231000000000002E-2</v>
      </c>
      <c r="D94" s="3">
        <v>3.4491000000000001E-2</v>
      </c>
      <c r="E94" s="3">
        <v>2.9537999999999998E-2</v>
      </c>
      <c r="F94" s="3">
        <v>8.2430000000000003E-3</v>
      </c>
      <c r="G94" s="3">
        <v>7.1975999999999998E-2</v>
      </c>
      <c r="H94" s="4">
        <v>1.5400000000000001E-18</v>
      </c>
      <c r="I94" s="4">
        <v>1.7599999999999999E-19</v>
      </c>
      <c r="J94" s="4">
        <v>1.0999999999999999E-19</v>
      </c>
      <c r="K94" s="4">
        <v>9.4300000000000001E-20</v>
      </c>
      <c r="L94" s="4">
        <v>2.63E-20</v>
      </c>
      <c r="M94" s="4">
        <v>2.2999999999999998E-19</v>
      </c>
      <c r="O94">
        <f>D94/B94</f>
        <v>6.7230903877603929E-2</v>
      </c>
      <c r="P94">
        <f>D94/C94</f>
        <v>0.62448624866469915</v>
      </c>
      <c r="Q94">
        <f>C94/B94</f>
        <v>0.10765794126189275</v>
      </c>
    </row>
    <row r="95" spans="1:17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7" x14ac:dyDescent="0.2">
      <c r="A96" s="3" t="s">
        <v>16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7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7" x14ac:dyDescent="0.2">
      <c r="A98" s="3"/>
      <c r="B98" s="3" t="s">
        <v>1</v>
      </c>
      <c r="C98" s="3" t="s">
        <v>2</v>
      </c>
      <c r="D98" s="3" t="s">
        <v>3</v>
      </c>
      <c r="E98" s="3" t="s">
        <v>2</v>
      </c>
      <c r="F98" s="3"/>
      <c r="G98" s="3"/>
      <c r="H98" s="3"/>
      <c r="I98" s="3"/>
      <c r="J98" s="3"/>
      <c r="K98" s="3"/>
      <c r="L98" s="3"/>
      <c r="M98" s="3"/>
    </row>
    <row r="99" spans="1:17" x14ac:dyDescent="0.2">
      <c r="A99" s="3" t="s">
        <v>4</v>
      </c>
      <c r="B99" s="3" t="s">
        <v>5</v>
      </c>
      <c r="C99" s="3" t="s">
        <v>6</v>
      </c>
      <c r="D99" s="3" t="s">
        <v>7</v>
      </c>
      <c r="E99" s="3" t="s">
        <v>8</v>
      </c>
      <c r="F99" s="3" t="s">
        <v>9</v>
      </c>
      <c r="G99" s="3" t="s">
        <v>10</v>
      </c>
      <c r="H99" s="3" t="s">
        <v>5</v>
      </c>
      <c r="I99" s="3" t="s">
        <v>6</v>
      </c>
      <c r="J99" s="3" t="s">
        <v>7</v>
      </c>
      <c r="K99" s="3" t="s">
        <v>8</v>
      </c>
      <c r="L99" s="3" t="s">
        <v>9</v>
      </c>
      <c r="M99" s="3" t="s">
        <v>10</v>
      </c>
    </row>
    <row r="100" spans="1:17" x14ac:dyDescent="0.2">
      <c r="A100" s="3" t="s">
        <v>11</v>
      </c>
      <c r="B100" s="3">
        <v>0.38680300000000001</v>
      </c>
      <c r="C100" s="3">
        <v>6.6289000000000001E-2</v>
      </c>
      <c r="D100" s="3">
        <v>3.6348999999999999E-2</v>
      </c>
      <c r="E100" s="3">
        <v>2.3983000000000001E-2</v>
      </c>
      <c r="F100" s="3">
        <v>9.1450000000000004E-3</v>
      </c>
      <c r="G100" s="3">
        <v>7.9838999999999993E-2</v>
      </c>
      <c r="H100" s="4">
        <v>1.13E-18</v>
      </c>
      <c r="I100" s="4">
        <v>2.1200000000000001E-19</v>
      </c>
      <c r="J100" s="4">
        <v>1.16E-19</v>
      </c>
      <c r="K100" s="4">
        <v>7.6600000000000003E-20</v>
      </c>
      <c r="L100" s="4">
        <v>2.92E-20</v>
      </c>
      <c r="M100" s="4">
        <v>2.5499999999999999E-19</v>
      </c>
    </row>
    <row r="101" spans="1:17" x14ac:dyDescent="0.2">
      <c r="A101" s="3" t="s">
        <v>12</v>
      </c>
      <c r="B101" s="3">
        <v>0.29245100000000002</v>
      </c>
      <c r="C101" s="3">
        <v>7.0073999999999997E-2</v>
      </c>
      <c r="D101" s="3">
        <v>3.5584999999999999E-2</v>
      </c>
      <c r="E101" s="3">
        <v>2.0673E-2</v>
      </c>
      <c r="F101" s="3">
        <v>9.1450000000000004E-3</v>
      </c>
      <c r="G101" s="3">
        <v>8.1778000000000003E-2</v>
      </c>
      <c r="H101" s="4">
        <v>8.2400000000000001E-19</v>
      </c>
      <c r="I101" s="4">
        <v>2.2400000000000002E-19</v>
      </c>
      <c r="J101" s="4">
        <v>1.14E-19</v>
      </c>
      <c r="K101" s="4">
        <v>6.6E-20</v>
      </c>
      <c r="L101" s="4">
        <v>2.92E-20</v>
      </c>
      <c r="M101" s="4">
        <v>2.61E-19</v>
      </c>
    </row>
    <row r="102" spans="1:17" x14ac:dyDescent="0.2">
      <c r="A102" s="3" t="s">
        <v>13</v>
      </c>
      <c r="B102" s="3">
        <v>0.34597099999999997</v>
      </c>
      <c r="C102" s="3">
        <v>4.8434999999999999E-2</v>
      </c>
      <c r="D102" s="3">
        <v>2.4042000000000001E-2</v>
      </c>
      <c r="E102" s="3">
        <v>2.3251999999999998E-2</v>
      </c>
      <c r="F102" s="3">
        <v>9.1450000000000004E-3</v>
      </c>
      <c r="G102" s="3">
        <v>5.9567000000000002E-2</v>
      </c>
      <c r="H102" s="4">
        <v>9.9499999999999991E-19</v>
      </c>
      <c r="I102" s="4">
        <v>1.5499999999999999E-19</v>
      </c>
      <c r="J102" s="4">
        <v>7.6699999999999994E-20</v>
      </c>
      <c r="K102" s="4">
        <v>7.4199999999999996E-20</v>
      </c>
      <c r="L102" s="4">
        <v>2.92E-20</v>
      </c>
      <c r="M102" s="4">
        <v>1.9E-19</v>
      </c>
      <c r="O102">
        <f>D102/B102</f>
        <v>6.9491373554430871E-2</v>
      </c>
      <c r="P102">
        <f>D102/C102</f>
        <v>0.4963765871786931</v>
      </c>
      <c r="Q102">
        <f>C102/B102</f>
        <v>0.13999728300926956</v>
      </c>
    </row>
    <row r="103" spans="1:17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7" x14ac:dyDescent="0.2">
      <c r="A104" s="3">
        <v>3</v>
      </c>
      <c r="B104" s="3" t="s">
        <v>26</v>
      </c>
      <c r="C104" s="3" t="s">
        <v>27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7" x14ac:dyDescent="0.2">
      <c r="A105" s="3"/>
      <c r="B105" s="3">
        <v>18956669</v>
      </c>
      <c r="C105" s="3">
        <v>8187845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7" x14ac:dyDescent="0.2">
      <c r="A106" s="3" t="s">
        <v>0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7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7" x14ac:dyDescent="0.2">
      <c r="A108" s="3"/>
      <c r="B108" s="3" t="s">
        <v>1</v>
      </c>
      <c r="C108" s="3" t="s">
        <v>2</v>
      </c>
      <c r="D108" s="3" t="s">
        <v>3</v>
      </c>
      <c r="E108" s="3" t="s">
        <v>2</v>
      </c>
      <c r="F108" s="3"/>
      <c r="G108" s="3"/>
      <c r="H108" s="3"/>
      <c r="I108" s="3"/>
      <c r="J108" s="3"/>
      <c r="K108" s="3"/>
      <c r="L108" s="3"/>
      <c r="M108" s="3"/>
    </row>
    <row r="109" spans="1:17" x14ac:dyDescent="0.2">
      <c r="A109" s="3" t="s">
        <v>4</v>
      </c>
      <c r="B109" s="3" t="s">
        <v>5</v>
      </c>
      <c r="C109" s="3" t="s">
        <v>6</v>
      </c>
      <c r="D109" s="3" t="s">
        <v>7</v>
      </c>
      <c r="E109" s="3" t="s">
        <v>8</v>
      </c>
      <c r="F109" s="3" t="s">
        <v>9</v>
      </c>
      <c r="G109" s="3" t="s">
        <v>10</v>
      </c>
      <c r="H109" s="3" t="s">
        <v>5</v>
      </c>
      <c r="I109" s="3" t="s">
        <v>6</v>
      </c>
      <c r="J109" s="3" t="s">
        <v>7</v>
      </c>
      <c r="K109" s="3" t="s">
        <v>8</v>
      </c>
      <c r="L109" s="3" t="s">
        <v>9</v>
      </c>
      <c r="M109" s="3" t="s">
        <v>10</v>
      </c>
    </row>
    <row r="110" spans="1:17" x14ac:dyDescent="0.2">
      <c r="A110" s="3" t="s">
        <v>11</v>
      </c>
      <c r="B110" s="3">
        <v>0.44157299999999999</v>
      </c>
      <c r="C110" s="3">
        <v>0.10782</v>
      </c>
      <c r="D110" s="3">
        <v>4.1811000000000001E-2</v>
      </c>
      <c r="E110" s="3">
        <v>2.8923000000000001E-2</v>
      </c>
      <c r="F110" s="3">
        <v>7.2979999999999998E-3</v>
      </c>
      <c r="G110" s="3">
        <v>0.11942800000000001</v>
      </c>
      <c r="H110" s="4">
        <v>1.34E-18</v>
      </c>
      <c r="I110" s="4">
        <v>3.4400000000000001E-19</v>
      </c>
      <c r="J110" s="4">
        <v>1.3300000000000001E-19</v>
      </c>
      <c r="K110" s="4">
        <v>9.2299999999999995E-20</v>
      </c>
      <c r="L110" s="4">
        <v>2.33E-20</v>
      </c>
      <c r="M110" s="4">
        <v>3.8099999999999999E-19</v>
      </c>
    </row>
    <row r="111" spans="1:17" x14ac:dyDescent="0.2">
      <c r="A111" s="3" t="s">
        <v>12</v>
      </c>
      <c r="B111" s="3">
        <v>7.7504000000000003E-2</v>
      </c>
      <c r="C111" s="3">
        <v>0.12714400000000001</v>
      </c>
      <c r="D111" s="3">
        <v>3.2106999999999997E-2</v>
      </c>
      <c r="E111" s="3">
        <v>-5.8040000000000001E-3</v>
      </c>
      <c r="F111" s="3">
        <v>7.2979999999999998E-3</v>
      </c>
      <c r="G111" s="3">
        <v>0.131466</v>
      </c>
      <c r="H111" s="4">
        <v>1.77E-19</v>
      </c>
      <c r="I111" s="4">
        <v>4.06E-19</v>
      </c>
      <c r="J111" s="4">
        <v>1.02E-19</v>
      </c>
      <c r="K111" s="4">
        <v>-1.85E-20</v>
      </c>
      <c r="L111" s="4">
        <v>2.33E-20</v>
      </c>
      <c r="M111" s="4">
        <v>4.1999999999999998E-19</v>
      </c>
    </row>
    <row r="112" spans="1:17" x14ac:dyDescent="0.2">
      <c r="A112" s="3" t="s">
        <v>13</v>
      </c>
      <c r="B112" s="3">
        <v>0.29810799999999998</v>
      </c>
      <c r="C112" s="3">
        <v>8.3042000000000005E-2</v>
      </c>
      <c r="D112" s="5">
        <v>2.2515E-2</v>
      </c>
      <c r="E112" s="5">
        <v>1.6531000000000001E-2</v>
      </c>
      <c r="F112" s="5">
        <v>7.2979999999999998E-3</v>
      </c>
      <c r="G112" s="5">
        <v>8.7917999999999996E-2</v>
      </c>
      <c r="H112" s="4">
        <v>8.8099999999999997E-19</v>
      </c>
      <c r="I112" s="4">
        <v>2.6499999999999999E-19</v>
      </c>
      <c r="J112" s="4">
        <v>7.1900000000000004E-20</v>
      </c>
      <c r="K112" s="4">
        <v>5.2800000000000001E-20</v>
      </c>
      <c r="L112" s="4">
        <v>2.33E-20</v>
      </c>
      <c r="M112" s="4">
        <v>2.8099999999999999E-19</v>
      </c>
      <c r="O112">
        <f>D112/B112</f>
        <v>7.552631932051472E-2</v>
      </c>
      <c r="P112">
        <f>D112/C112</f>
        <v>0.27112786300907971</v>
      </c>
      <c r="Q112">
        <f>C112/B112</f>
        <v>0.27856347364042566</v>
      </c>
    </row>
    <row r="113" spans="1:17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7" x14ac:dyDescent="0.2">
      <c r="A114" s="3" t="s">
        <v>14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7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7" x14ac:dyDescent="0.2">
      <c r="A116" s="3"/>
      <c r="B116" s="3" t="s">
        <v>1</v>
      </c>
      <c r="C116" s="3" t="s">
        <v>2</v>
      </c>
      <c r="D116" s="3" t="s">
        <v>3</v>
      </c>
      <c r="E116" s="3" t="s">
        <v>2</v>
      </c>
      <c r="F116" s="3"/>
      <c r="G116" s="3"/>
      <c r="H116" s="3"/>
      <c r="I116" s="3"/>
      <c r="J116" s="3"/>
      <c r="K116" s="3"/>
      <c r="L116" s="3"/>
      <c r="M116" s="3"/>
    </row>
    <row r="117" spans="1:17" x14ac:dyDescent="0.2">
      <c r="A117" s="3" t="s">
        <v>4</v>
      </c>
      <c r="B117" s="3" t="s">
        <v>5</v>
      </c>
      <c r="C117" s="3" t="s">
        <v>6</v>
      </c>
      <c r="D117" s="3" t="s">
        <v>7</v>
      </c>
      <c r="E117" s="3" t="s">
        <v>8</v>
      </c>
      <c r="F117" s="3" t="s">
        <v>9</v>
      </c>
      <c r="G117" s="3" t="s">
        <v>10</v>
      </c>
      <c r="H117" s="3" t="s">
        <v>5</v>
      </c>
      <c r="I117" s="3" t="s">
        <v>6</v>
      </c>
      <c r="J117" s="3" t="s">
        <v>7</v>
      </c>
      <c r="K117" s="3" t="s">
        <v>8</v>
      </c>
      <c r="L117" s="3" t="s">
        <v>9</v>
      </c>
      <c r="M117" s="3" t="s">
        <v>10</v>
      </c>
    </row>
    <row r="118" spans="1:17" x14ac:dyDescent="0.2">
      <c r="A118" s="3" t="s">
        <v>11</v>
      </c>
      <c r="B118" s="3">
        <v>0.26627400000000001</v>
      </c>
      <c r="C118" s="3">
        <v>9.2095999999999997E-2</v>
      </c>
      <c r="D118" s="3">
        <v>2.3911000000000002E-2</v>
      </c>
      <c r="E118" s="3">
        <v>1.4429000000000001E-2</v>
      </c>
      <c r="F118" s="3">
        <v>8.1720000000000004E-3</v>
      </c>
      <c r="G118" s="3">
        <v>9.6584000000000003E-2</v>
      </c>
      <c r="H118" s="4">
        <v>7.7699999999999999E-19</v>
      </c>
      <c r="I118" s="4">
        <v>2.9399999999999999E-19</v>
      </c>
      <c r="J118" s="4">
        <v>7.6300000000000005E-20</v>
      </c>
      <c r="K118" s="4">
        <v>4.6100000000000002E-20</v>
      </c>
      <c r="L118" s="4">
        <v>2.61E-20</v>
      </c>
      <c r="M118" s="4">
        <v>3.0800000000000002E-19</v>
      </c>
    </row>
    <row r="119" spans="1:17" x14ac:dyDescent="0.2">
      <c r="A119" s="3" t="s">
        <v>12</v>
      </c>
      <c r="B119" s="3">
        <v>0.25168699999999999</v>
      </c>
      <c r="C119" s="3">
        <v>0.10870299999999999</v>
      </c>
      <c r="D119" s="3">
        <v>3.6561999999999997E-2</v>
      </c>
      <c r="E119" s="3">
        <v>-1.3780000000000001E-3</v>
      </c>
      <c r="F119" s="3">
        <v>8.1720000000000004E-3</v>
      </c>
      <c r="G119" s="3">
        <v>0.114986</v>
      </c>
      <c r="H119" s="4">
        <v>7.31E-19</v>
      </c>
      <c r="I119" s="4">
        <v>3.4700000000000001E-19</v>
      </c>
      <c r="J119" s="4">
        <v>1.1700000000000001E-19</v>
      </c>
      <c r="K119" s="4">
        <v>-4.4000000000000001E-21</v>
      </c>
      <c r="L119" s="4">
        <v>2.61E-20</v>
      </c>
      <c r="M119" s="4">
        <v>3.67E-19</v>
      </c>
    </row>
    <row r="120" spans="1:17" x14ac:dyDescent="0.2">
      <c r="A120" s="3" t="s">
        <v>13</v>
      </c>
      <c r="B120" s="3">
        <v>0.26810800000000001</v>
      </c>
      <c r="C120" s="3">
        <v>7.0965E-2</v>
      </c>
      <c r="D120" s="3">
        <v>2.0343E-2</v>
      </c>
      <c r="E120" s="3">
        <v>8.8789999999999997E-3</v>
      </c>
      <c r="F120" s="3">
        <v>8.1720000000000004E-3</v>
      </c>
      <c r="G120" s="3">
        <v>7.4802999999999994E-2</v>
      </c>
      <c r="H120" s="4">
        <v>7.8299999999999999E-19</v>
      </c>
      <c r="I120" s="4">
        <v>2.2699999999999998E-19</v>
      </c>
      <c r="J120" s="4">
        <v>6.49E-20</v>
      </c>
      <c r="K120" s="4">
        <v>2.8300000000000001E-20</v>
      </c>
      <c r="L120" s="4">
        <v>2.61E-20</v>
      </c>
      <c r="M120" s="4">
        <v>2.3899999999999999E-19</v>
      </c>
      <c r="O120">
        <f>D120/B120</f>
        <v>7.5876139466185266E-2</v>
      </c>
      <c r="P120">
        <f>D120/C120</f>
        <v>0.28666243923060664</v>
      </c>
      <c r="Q120">
        <f>C120/B120</f>
        <v>0.26468811076133497</v>
      </c>
    </row>
    <row r="121" spans="1:17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7" x14ac:dyDescent="0.2">
      <c r="A122" s="3" t="s">
        <v>15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7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7" x14ac:dyDescent="0.2">
      <c r="A124" s="3"/>
      <c r="B124" s="3" t="s">
        <v>1</v>
      </c>
      <c r="C124" s="3" t="s">
        <v>2</v>
      </c>
      <c r="D124" s="3" t="s">
        <v>3</v>
      </c>
      <c r="E124" s="3" t="s">
        <v>2</v>
      </c>
      <c r="F124" s="3"/>
      <c r="G124" s="3"/>
      <c r="H124" s="3"/>
      <c r="I124" s="3"/>
      <c r="J124" s="3"/>
      <c r="K124" s="3"/>
      <c r="L124" s="3"/>
      <c r="M124" s="3"/>
    </row>
    <row r="125" spans="1:17" x14ac:dyDescent="0.2">
      <c r="A125" s="3" t="s">
        <v>4</v>
      </c>
      <c r="B125" s="3" t="s">
        <v>5</v>
      </c>
      <c r="C125" s="3" t="s">
        <v>6</v>
      </c>
      <c r="D125" s="3" t="s">
        <v>7</v>
      </c>
      <c r="E125" s="3" t="s">
        <v>8</v>
      </c>
      <c r="F125" s="3" t="s">
        <v>9</v>
      </c>
      <c r="G125" s="3" t="s">
        <v>10</v>
      </c>
      <c r="H125" s="3" t="s">
        <v>5</v>
      </c>
      <c r="I125" s="3" t="s">
        <v>6</v>
      </c>
      <c r="J125" s="3" t="s">
        <v>7</v>
      </c>
      <c r="K125" s="3" t="s">
        <v>8</v>
      </c>
      <c r="L125" s="3" t="s">
        <v>9</v>
      </c>
      <c r="M125" s="3" t="s">
        <v>10</v>
      </c>
    </row>
    <row r="126" spans="1:17" x14ac:dyDescent="0.2">
      <c r="A126" s="3" t="s">
        <v>11</v>
      </c>
      <c r="B126" s="3">
        <v>0.55452500000000005</v>
      </c>
      <c r="C126" s="3">
        <v>7.5519000000000003E-2</v>
      </c>
      <c r="D126" s="3">
        <v>4.5864000000000002E-2</v>
      </c>
      <c r="E126" s="3">
        <v>3.4727000000000001E-2</v>
      </c>
      <c r="F126" s="3">
        <v>8.2430000000000003E-3</v>
      </c>
      <c r="G126" s="3">
        <v>9.5292000000000002E-2</v>
      </c>
      <c r="H126" s="4">
        <v>1.6799999999999999E-18</v>
      </c>
      <c r="I126" s="4">
        <v>2.4100000000000001E-19</v>
      </c>
      <c r="J126" s="4">
        <v>1.4600000000000001E-19</v>
      </c>
      <c r="K126" s="4">
        <v>1.11E-19</v>
      </c>
      <c r="L126" s="4">
        <v>2.63E-20</v>
      </c>
      <c r="M126" s="4">
        <v>3.0399999999999998E-19</v>
      </c>
    </row>
    <row r="127" spans="1:17" x14ac:dyDescent="0.2">
      <c r="A127" s="3" t="s">
        <v>12</v>
      </c>
      <c r="B127" s="3">
        <v>0.50855499999999998</v>
      </c>
      <c r="C127" s="3">
        <v>8.9997999999999995E-2</v>
      </c>
      <c r="D127" s="3">
        <v>5.2034999999999998E-2</v>
      </c>
      <c r="E127" s="3">
        <v>2.0204E-2</v>
      </c>
      <c r="F127" s="3">
        <v>8.2430000000000003E-3</v>
      </c>
      <c r="G127" s="3">
        <v>0.106224</v>
      </c>
      <c r="H127" s="4">
        <v>1.5299999999999999E-18</v>
      </c>
      <c r="I127" s="4">
        <v>2.8699999999999999E-19</v>
      </c>
      <c r="J127" s="4">
        <v>1.66E-19</v>
      </c>
      <c r="K127" s="4">
        <v>6.4499999999999999E-20</v>
      </c>
      <c r="L127" s="4">
        <v>2.63E-20</v>
      </c>
      <c r="M127" s="4">
        <v>3.3899999999999999E-19</v>
      </c>
    </row>
    <row r="128" spans="1:17" x14ac:dyDescent="0.2">
      <c r="A128" s="3" t="s">
        <v>13</v>
      </c>
      <c r="B128" s="3">
        <v>0.54415000000000002</v>
      </c>
      <c r="C128" s="3">
        <v>5.8452999999999998E-2</v>
      </c>
      <c r="D128" s="3">
        <v>3.4429000000000001E-2</v>
      </c>
      <c r="E128" s="3">
        <v>3.0224000000000001E-2</v>
      </c>
      <c r="F128" s="3">
        <v>8.2430000000000003E-3</v>
      </c>
      <c r="G128" s="3">
        <v>7.4722999999999998E-2</v>
      </c>
      <c r="H128" s="4">
        <v>1.6399999999999999E-18</v>
      </c>
      <c r="I128" s="4">
        <v>1.87E-19</v>
      </c>
      <c r="J128" s="4">
        <v>1.0999999999999999E-19</v>
      </c>
      <c r="K128" s="4">
        <v>9.6500000000000002E-20</v>
      </c>
      <c r="L128" s="4">
        <v>2.63E-20</v>
      </c>
      <c r="M128" s="4">
        <v>2.3899999999999999E-19</v>
      </c>
      <c r="O128">
        <f>D128/B128</f>
        <v>6.3271156850133237E-2</v>
      </c>
      <c r="P128">
        <f>D128/C128</f>
        <v>0.58900313072040789</v>
      </c>
      <c r="Q128">
        <f>C128/B128</f>
        <v>0.10742074795552696</v>
      </c>
    </row>
    <row r="129" spans="1:17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7" x14ac:dyDescent="0.2">
      <c r="A130" s="3" t="s">
        <v>16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7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7" x14ac:dyDescent="0.2">
      <c r="A132" s="3"/>
      <c r="B132" s="3" t="s">
        <v>1</v>
      </c>
      <c r="C132" s="3" t="s">
        <v>2</v>
      </c>
      <c r="D132" s="3" t="s">
        <v>3</v>
      </c>
      <c r="E132" s="3" t="s">
        <v>2</v>
      </c>
      <c r="F132" s="3"/>
      <c r="G132" s="3"/>
      <c r="H132" s="3"/>
      <c r="I132" s="3"/>
      <c r="J132" s="3"/>
      <c r="K132" s="3"/>
      <c r="L132" s="3"/>
      <c r="M132" s="3"/>
    </row>
    <row r="133" spans="1:17" x14ac:dyDescent="0.2">
      <c r="A133" s="3" t="s">
        <v>4</v>
      </c>
      <c r="B133" s="3" t="s">
        <v>5</v>
      </c>
      <c r="C133" s="3" t="s">
        <v>6</v>
      </c>
      <c r="D133" s="3" t="s">
        <v>7</v>
      </c>
      <c r="E133" s="3" t="s">
        <v>8</v>
      </c>
      <c r="F133" s="3" t="s">
        <v>9</v>
      </c>
      <c r="G133" s="3" t="s">
        <v>10</v>
      </c>
      <c r="H133" s="3" t="s">
        <v>5</v>
      </c>
      <c r="I133" s="3" t="s">
        <v>6</v>
      </c>
      <c r="J133" s="3" t="s">
        <v>7</v>
      </c>
      <c r="K133" s="3" t="s">
        <v>8</v>
      </c>
      <c r="L133" s="3" t="s">
        <v>9</v>
      </c>
      <c r="M133" s="3" t="s">
        <v>10</v>
      </c>
    </row>
    <row r="134" spans="1:17" x14ac:dyDescent="0.2">
      <c r="A134" s="3" t="s">
        <v>11</v>
      </c>
      <c r="B134" s="3">
        <v>0.38085000000000002</v>
      </c>
      <c r="C134" s="3">
        <v>6.6267000000000006E-2</v>
      </c>
      <c r="D134" s="3">
        <v>3.2883000000000003E-2</v>
      </c>
      <c r="E134" s="3">
        <v>2.2558000000000002E-2</v>
      </c>
      <c r="F134" s="3">
        <v>9.1450000000000004E-3</v>
      </c>
      <c r="G134" s="3">
        <v>7.7879000000000004E-2</v>
      </c>
      <c r="H134" s="4">
        <v>1.1100000000000001E-18</v>
      </c>
      <c r="I134" s="4">
        <v>2.1200000000000001E-19</v>
      </c>
      <c r="J134" s="4">
        <v>1.0499999999999999E-19</v>
      </c>
      <c r="K134" s="4">
        <v>7.1999999999999995E-20</v>
      </c>
      <c r="L134" s="4">
        <v>2.92E-20</v>
      </c>
      <c r="M134" s="4">
        <v>2.4899999999999998E-19</v>
      </c>
    </row>
    <row r="135" spans="1:17" x14ac:dyDescent="0.2">
      <c r="A135" s="3" t="s">
        <v>12</v>
      </c>
      <c r="B135" s="3">
        <v>0.31590600000000002</v>
      </c>
      <c r="C135" s="3">
        <v>7.8953999999999996E-2</v>
      </c>
      <c r="D135" s="3">
        <v>4.0875000000000002E-2</v>
      </c>
      <c r="E135" s="3">
        <v>2.1471000000000001E-2</v>
      </c>
      <c r="F135" s="3">
        <v>9.1450000000000004E-3</v>
      </c>
      <c r="G135" s="3">
        <v>9.1920000000000002E-2</v>
      </c>
      <c r="H135" s="4">
        <v>8.9899999999999999E-19</v>
      </c>
      <c r="I135" s="4">
        <v>2.5199999999999999E-19</v>
      </c>
      <c r="J135" s="4">
        <v>1.3000000000000001E-19</v>
      </c>
      <c r="K135" s="4">
        <v>6.8499999999999999E-20</v>
      </c>
      <c r="L135" s="4">
        <v>2.92E-20</v>
      </c>
      <c r="M135" s="4">
        <v>2.93E-19</v>
      </c>
    </row>
    <row r="136" spans="1:17" x14ac:dyDescent="0.2">
      <c r="A136" s="3" t="s">
        <v>13</v>
      </c>
      <c r="B136" s="3">
        <v>0.36458200000000002</v>
      </c>
      <c r="C136" s="3">
        <v>5.1284000000000003E-2</v>
      </c>
      <c r="D136" s="3">
        <v>2.4055E-2</v>
      </c>
      <c r="E136" s="3">
        <v>2.3876999999999999E-2</v>
      </c>
      <c r="F136" s="3">
        <v>9.1450000000000004E-3</v>
      </c>
      <c r="G136" s="3">
        <v>6.2148000000000002E-2</v>
      </c>
      <c r="H136" s="4">
        <v>1.05E-18</v>
      </c>
      <c r="I136" s="4">
        <v>1.64E-19</v>
      </c>
      <c r="J136" s="4">
        <v>7.6799999999999998E-20</v>
      </c>
      <c r="K136" s="4">
        <v>7.6200000000000002E-20</v>
      </c>
      <c r="L136" s="4">
        <v>2.92E-20</v>
      </c>
      <c r="M136" s="4">
        <v>1.98E-19</v>
      </c>
      <c r="O136">
        <f>D136/B136</f>
        <v>6.5979669868506938E-2</v>
      </c>
      <c r="P136">
        <f>D136/C136</f>
        <v>0.46905467592231492</v>
      </c>
      <c r="Q136">
        <f>C136/B136</f>
        <v>0.14066520014701769</v>
      </c>
    </row>
    <row r="137" spans="1:17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7" x14ac:dyDescent="0.2">
      <c r="A138" s="3">
        <v>4</v>
      </c>
      <c r="B138" s="3" t="s">
        <v>28</v>
      </c>
      <c r="C138" s="3" t="s">
        <v>27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7" x14ac:dyDescent="0.2">
      <c r="A139" s="3"/>
      <c r="B139" s="3">
        <v>23965876</v>
      </c>
      <c r="C139" s="3">
        <v>10349880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7" x14ac:dyDescent="0.2">
      <c r="A140" s="3" t="s">
        <v>0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7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7" x14ac:dyDescent="0.2">
      <c r="A142" s="3"/>
      <c r="B142" s="3" t="s">
        <v>1</v>
      </c>
      <c r="C142" s="3" t="s">
        <v>2</v>
      </c>
      <c r="D142" s="3" t="s">
        <v>3</v>
      </c>
      <c r="E142" s="3" t="s">
        <v>2</v>
      </c>
      <c r="F142" s="3"/>
      <c r="G142" s="3"/>
      <c r="H142" s="3"/>
      <c r="I142" s="3"/>
      <c r="J142" s="3"/>
      <c r="K142" s="3"/>
      <c r="L142" s="3"/>
      <c r="M142" s="3"/>
    </row>
    <row r="143" spans="1:17" x14ac:dyDescent="0.2">
      <c r="A143" s="3" t="s">
        <v>4</v>
      </c>
      <c r="B143" s="3" t="s">
        <v>5</v>
      </c>
      <c r="C143" s="3" t="s">
        <v>6</v>
      </c>
      <c r="D143" s="3" t="s">
        <v>7</v>
      </c>
      <c r="E143" s="3" t="s">
        <v>8</v>
      </c>
      <c r="F143" s="3" t="s">
        <v>9</v>
      </c>
      <c r="G143" s="3" t="s">
        <v>10</v>
      </c>
      <c r="H143" s="3" t="s">
        <v>5</v>
      </c>
      <c r="I143" s="3" t="s">
        <v>6</v>
      </c>
      <c r="J143" s="3" t="s">
        <v>7</v>
      </c>
      <c r="K143" s="3" t="s">
        <v>8</v>
      </c>
      <c r="L143" s="3" t="s">
        <v>9</v>
      </c>
      <c r="M143" s="3" t="s">
        <v>10</v>
      </c>
    </row>
    <row r="144" spans="1:17" x14ac:dyDescent="0.2">
      <c r="A144" s="3" t="s">
        <v>11</v>
      </c>
      <c r="B144" s="3">
        <v>0.43796800000000002</v>
      </c>
      <c r="C144" s="3">
        <v>0.106005</v>
      </c>
      <c r="D144" s="3">
        <v>3.5314999999999999E-2</v>
      </c>
      <c r="E144" s="3">
        <v>2.4719000000000001E-2</v>
      </c>
      <c r="F144" s="3">
        <v>7.2979999999999998E-3</v>
      </c>
      <c r="G144" s="3">
        <v>0.11466700000000001</v>
      </c>
      <c r="H144" s="4">
        <v>1.33E-18</v>
      </c>
      <c r="I144" s="4">
        <v>3.38E-19</v>
      </c>
      <c r="J144" s="4">
        <v>1.13E-19</v>
      </c>
      <c r="K144" s="4">
        <v>7.8899999999999995E-20</v>
      </c>
      <c r="L144" s="4">
        <v>2.33E-20</v>
      </c>
      <c r="M144" s="4">
        <v>3.6600000000000002E-19</v>
      </c>
    </row>
    <row r="145" spans="1:17" x14ac:dyDescent="0.2">
      <c r="A145" s="3" t="s">
        <v>12</v>
      </c>
      <c r="B145" s="3">
        <v>4.6323000000000003E-2</v>
      </c>
      <c r="C145" s="3">
        <v>0.128442</v>
      </c>
      <c r="D145" s="3">
        <v>2.7931999999999998E-2</v>
      </c>
      <c r="E145" s="3">
        <v>-1.0345E-2</v>
      </c>
      <c r="F145" s="3">
        <v>7.2979999999999998E-3</v>
      </c>
      <c r="G145" s="3">
        <v>0.132053</v>
      </c>
      <c r="H145" s="4">
        <v>7.7000000000000004E-20</v>
      </c>
      <c r="I145" s="4">
        <v>4.0999999999999999E-19</v>
      </c>
      <c r="J145" s="4">
        <v>8.92E-20</v>
      </c>
      <c r="K145" s="4">
        <v>-3.3E-20</v>
      </c>
      <c r="L145" s="4">
        <v>2.33E-20</v>
      </c>
      <c r="M145" s="4">
        <v>4.22E-19</v>
      </c>
    </row>
    <row r="146" spans="1:17" x14ac:dyDescent="0.2">
      <c r="A146" s="3" t="s">
        <v>13</v>
      </c>
      <c r="B146" s="3">
        <v>0.30223899999999998</v>
      </c>
      <c r="C146" s="3">
        <v>8.3269999999999997E-2</v>
      </c>
      <c r="D146" s="5">
        <v>1.9233E-2</v>
      </c>
      <c r="E146" s="5">
        <v>1.393E-2</v>
      </c>
      <c r="F146" s="5">
        <v>7.2979999999999998E-3</v>
      </c>
      <c r="G146" s="5">
        <v>8.6897000000000002E-2</v>
      </c>
      <c r="H146" s="4">
        <v>8.9400000000000002E-19</v>
      </c>
      <c r="I146" s="4">
        <v>2.6600000000000002E-19</v>
      </c>
      <c r="J146" s="4">
        <v>6.1400000000000004E-20</v>
      </c>
      <c r="K146" s="4">
        <v>4.4500000000000003E-20</v>
      </c>
      <c r="L146" s="4">
        <v>2.33E-20</v>
      </c>
      <c r="M146" s="4">
        <v>2.77E-19</v>
      </c>
      <c r="O146">
        <f>D146/B146</f>
        <v>6.3635070258967252E-2</v>
      </c>
      <c r="P146">
        <f>D146/C146</f>
        <v>0.23097153836916057</v>
      </c>
      <c r="Q146">
        <f>C146/B146</f>
        <v>0.27551044041305062</v>
      </c>
    </row>
    <row r="147" spans="1:17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7" x14ac:dyDescent="0.2">
      <c r="A148" s="3" t="s">
        <v>14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7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7" x14ac:dyDescent="0.2">
      <c r="A150" s="3"/>
      <c r="B150" s="3" t="s">
        <v>1</v>
      </c>
      <c r="C150" s="3" t="s">
        <v>2</v>
      </c>
      <c r="D150" s="3" t="s">
        <v>3</v>
      </c>
      <c r="E150" s="3" t="s">
        <v>2</v>
      </c>
      <c r="F150" s="3"/>
      <c r="G150" s="3"/>
      <c r="H150" s="3"/>
      <c r="I150" s="3"/>
      <c r="J150" s="3"/>
      <c r="K150" s="3"/>
      <c r="L150" s="3"/>
      <c r="M150" s="3"/>
    </row>
    <row r="151" spans="1:17" x14ac:dyDescent="0.2">
      <c r="A151" s="3" t="s">
        <v>4</v>
      </c>
      <c r="B151" s="3" t="s">
        <v>5</v>
      </c>
      <c r="C151" s="3" t="s">
        <v>6</v>
      </c>
      <c r="D151" s="3" t="s">
        <v>7</v>
      </c>
      <c r="E151" s="3" t="s">
        <v>8</v>
      </c>
      <c r="F151" s="3" t="s">
        <v>9</v>
      </c>
      <c r="G151" s="3" t="s">
        <v>10</v>
      </c>
      <c r="H151" s="3" t="s">
        <v>5</v>
      </c>
      <c r="I151" s="3" t="s">
        <v>6</v>
      </c>
      <c r="J151" s="3" t="s">
        <v>7</v>
      </c>
      <c r="K151" s="3" t="s">
        <v>8</v>
      </c>
      <c r="L151" s="3" t="s">
        <v>9</v>
      </c>
      <c r="M151" s="3" t="s">
        <v>10</v>
      </c>
    </row>
    <row r="152" spans="1:17" x14ac:dyDescent="0.2">
      <c r="A152" s="3" t="s">
        <v>11</v>
      </c>
      <c r="B152" s="3">
        <v>0.26061800000000002</v>
      </c>
      <c r="C152" s="3">
        <v>9.0549000000000004E-2</v>
      </c>
      <c r="D152" s="3">
        <v>1.9834000000000001E-2</v>
      </c>
      <c r="E152" s="3">
        <v>1.1646E-2</v>
      </c>
      <c r="F152" s="3">
        <v>8.1720000000000004E-3</v>
      </c>
      <c r="G152" s="3">
        <v>9.3782000000000004E-2</v>
      </c>
      <c r="H152" s="4">
        <v>7.5899999999999997E-19</v>
      </c>
      <c r="I152" s="4">
        <v>2.8900000000000001E-19</v>
      </c>
      <c r="J152" s="4">
        <v>6.3299999999999995E-20</v>
      </c>
      <c r="K152" s="4">
        <v>3.7200000000000001E-20</v>
      </c>
      <c r="L152" s="4">
        <v>2.61E-20</v>
      </c>
      <c r="M152" s="4">
        <v>2.9900000000000001E-19</v>
      </c>
    </row>
    <row r="153" spans="1:17" x14ac:dyDescent="0.2">
      <c r="A153" s="3" t="s">
        <v>12</v>
      </c>
      <c r="B153" s="3">
        <v>0.243946</v>
      </c>
      <c r="C153" s="3">
        <v>0.109803</v>
      </c>
      <c r="D153" s="3">
        <v>3.1836999999999997E-2</v>
      </c>
      <c r="E153" s="3">
        <v>-6.0889999999999998E-3</v>
      </c>
      <c r="F153" s="3">
        <v>8.1720000000000004E-3</v>
      </c>
      <c r="G153" s="3">
        <v>0.11477900000000001</v>
      </c>
      <c r="H153" s="4">
        <v>7.0600000000000004E-19</v>
      </c>
      <c r="I153" s="4">
        <v>3.51E-19</v>
      </c>
      <c r="J153" s="4">
        <v>1.02E-19</v>
      </c>
      <c r="K153" s="4">
        <v>-1.94E-20</v>
      </c>
      <c r="L153" s="4">
        <v>2.61E-20</v>
      </c>
      <c r="M153" s="4">
        <v>3.6600000000000002E-19</v>
      </c>
    </row>
    <row r="154" spans="1:17" x14ac:dyDescent="0.2">
      <c r="A154" s="3" t="s">
        <v>13</v>
      </c>
      <c r="B154" s="3">
        <v>0.26897700000000002</v>
      </c>
      <c r="C154" s="3">
        <v>7.1160000000000001E-2</v>
      </c>
      <c r="D154" s="3">
        <v>1.7389000000000002E-2</v>
      </c>
      <c r="E154" s="3">
        <v>6.1749999999999999E-3</v>
      </c>
      <c r="F154" s="3">
        <v>8.1720000000000004E-3</v>
      </c>
      <c r="G154" s="3">
        <v>7.3967000000000005E-2</v>
      </c>
      <c r="H154" s="4">
        <v>7.86E-19</v>
      </c>
      <c r="I154" s="4">
        <v>2.2699999999999998E-19</v>
      </c>
      <c r="J154" s="4">
        <v>5.5500000000000001E-20</v>
      </c>
      <c r="K154" s="4">
        <v>1.9700000000000001E-20</v>
      </c>
      <c r="L154" s="4">
        <v>2.61E-20</v>
      </c>
      <c r="M154" s="4">
        <v>2.3599999999999999E-19</v>
      </c>
      <c r="O154">
        <f>D154/B154</f>
        <v>6.4648650256341617E-2</v>
      </c>
      <c r="P154">
        <f>D154/C154</f>
        <v>0.24436481169196181</v>
      </c>
      <c r="Q154">
        <f>C154/B154</f>
        <v>0.2645579361804169</v>
      </c>
    </row>
    <row r="155" spans="1:17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7" x14ac:dyDescent="0.2">
      <c r="A156" s="3" t="s">
        <v>15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7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7" x14ac:dyDescent="0.2">
      <c r="A158" s="3"/>
      <c r="B158" s="3" t="s">
        <v>1</v>
      </c>
      <c r="C158" s="3" t="s">
        <v>2</v>
      </c>
      <c r="D158" s="3" t="s">
        <v>3</v>
      </c>
      <c r="E158" s="3" t="s">
        <v>2</v>
      </c>
      <c r="F158" s="3"/>
      <c r="G158" s="3"/>
      <c r="H158" s="3"/>
      <c r="I158" s="3"/>
      <c r="J158" s="3"/>
      <c r="K158" s="3"/>
      <c r="L158" s="3"/>
      <c r="M158" s="3"/>
    </row>
    <row r="159" spans="1:17" x14ac:dyDescent="0.2">
      <c r="A159" s="3" t="s">
        <v>4</v>
      </c>
      <c r="B159" s="3" t="s">
        <v>5</v>
      </c>
      <c r="C159" s="3" t="s">
        <v>6</v>
      </c>
      <c r="D159" s="3" t="s">
        <v>7</v>
      </c>
      <c r="E159" s="3" t="s">
        <v>8</v>
      </c>
      <c r="F159" s="3" t="s">
        <v>9</v>
      </c>
      <c r="G159" s="3" t="s">
        <v>10</v>
      </c>
      <c r="H159" s="3" t="s">
        <v>5</v>
      </c>
      <c r="I159" s="3" t="s">
        <v>6</v>
      </c>
      <c r="J159" s="3" t="s">
        <v>7</v>
      </c>
      <c r="K159" s="3" t="s">
        <v>8</v>
      </c>
      <c r="L159" s="3" t="s">
        <v>9</v>
      </c>
      <c r="M159" s="3" t="s">
        <v>10</v>
      </c>
    </row>
    <row r="160" spans="1:17" x14ac:dyDescent="0.2">
      <c r="A160" s="3" t="s">
        <v>11</v>
      </c>
      <c r="B160" s="3">
        <v>0.54011200000000004</v>
      </c>
      <c r="C160" s="3">
        <v>7.4274000000000007E-2</v>
      </c>
      <c r="D160" s="3">
        <v>3.8691000000000003E-2</v>
      </c>
      <c r="E160" s="3">
        <v>2.8559000000000001E-2</v>
      </c>
      <c r="F160" s="3">
        <v>8.2430000000000003E-3</v>
      </c>
      <c r="G160" s="3">
        <v>8.8866000000000001E-2</v>
      </c>
      <c r="H160" s="4">
        <v>1.63E-18</v>
      </c>
      <c r="I160" s="4">
        <v>2.3700000000000002E-19</v>
      </c>
      <c r="J160" s="4">
        <v>1.24E-19</v>
      </c>
      <c r="K160" s="4">
        <v>9.1199999999999994E-20</v>
      </c>
      <c r="L160" s="4">
        <v>2.63E-20</v>
      </c>
      <c r="M160" s="4">
        <v>2.8399999999999999E-19</v>
      </c>
    </row>
    <row r="161" spans="1:17" x14ac:dyDescent="0.2">
      <c r="A161" s="3" t="s">
        <v>12</v>
      </c>
      <c r="B161" s="3">
        <v>0.48433799999999999</v>
      </c>
      <c r="C161" s="3">
        <v>9.0935000000000002E-2</v>
      </c>
      <c r="D161" s="3">
        <v>4.5752000000000001E-2</v>
      </c>
      <c r="E161" s="3">
        <v>1.0385E-2</v>
      </c>
      <c r="F161" s="3">
        <v>8.2430000000000003E-3</v>
      </c>
      <c r="G161" s="3">
        <v>0.102656</v>
      </c>
      <c r="H161" s="4">
        <v>1.45E-18</v>
      </c>
      <c r="I161" s="4">
        <v>2.9E-19</v>
      </c>
      <c r="J161" s="4">
        <v>1.4600000000000001E-19</v>
      </c>
      <c r="K161" s="4">
        <v>3.3200000000000001E-20</v>
      </c>
      <c r="L161" s="4">
        <v>2.63E-20</v>
      </c>
      <c r="M161" s="4">
        <v>3.2800000000000001E-19</v>
      </c>
    </row>
    <row r="162" spans="1:17" x14ac:dyDescent="0.2">
      <c r="A162" s="3" t="s">
        <v>13</v>
      </c>
      <c r="B162" s="3">
        <v>0.53991500000000003</v>
      </c>
      <c r="C162" s="3">
        <v>5.8632999999999998E-2</v>
      </c>
      <c r="D162" s="3">
        <v>2.9589000000000001E-2</v>
      </c>
      <c r="E162" s="3">
        <v>2.4247000000000001E-2</v>
      </c>
      <c r="F162" s="3">
        <v>8.2430000000000003E-3</v>
      </c>
      <c r="G162" s="3">
        <v>7.0491999999999999E-2</v>
      </c>
      <c r="H162" s="4">
        <v>1.63E-18</v>
      </c>
      <c r="I162" s="4">
        <v>1.87E-19</v>
      </c>
      <c r="J162" s="4">
        <v>9.4499999999999995E-20</v>
      </c>
      <c r="K162" s="4">
        <v>7.7400000000000006E-20</v>
      </c>
      <c r="L162" s="4">
        <v>2.63E-20</v>
      </c>
      <c r="M162" s="4">
        <v>2.2500000000000001E-19</v>
      </c>
      <c r="O162">
        <f>D162/B162</f>
        <v>5.4803070853745493E-2</v>
      </c>
      <c r="P162">
        <f>D162/C162</f>
        <v>0.50464755342554535</v>
      </c>
      <c r="Q162">
        <f>C162/B162</f>
        <v>0.10859672355833788</v>
      </c>
    </row>
    <row r="163" spans="1:17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7" x14ac:dyDescent="0.2">
      <c r="A164" s="3" t="s">
        <v>16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7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7" x14ac:dyDescent="0.2">
      <c r="A166" s="3"/>
      <c r="B166" s="3" t="s">
        <v>1</v>
      </c>
      <c r="C166" s="3" t="s">
        <v>2</v>
      </c>
      <c r="D166" s="3" t="s">
        <v>3</v>
      </c>
      <c r="E166" s="3" t="s">
        <v>2</v>
      </c>
      <c r="F166" s="3"/>
      <c r="G166" s="3"/>
      <c r="H166" s="3"/>
      <c r="I166" s="3"/>
      <c r="J166" s="3"/>
      <c r="K166" s="3"/>
      <c r="L166" s="3"/>
      <c r="M166" s="3"/>
    </row>
    <row r="167" spans="1:17" x14ac:dyDescent="0.2">
      <c r="A167" s="3" t="s">
        <v>4</v>
      </c>
      <c r="B167" s="3" t="s">
        <v>5</v>
      </c>
      <c r="C167" s="3" t="s">
        <v>6</v>
      </c>
      <c r="D167" s="3" t="s">
        <v>7</v>
      </c>
      <c r="E167" s="3" t="s">
        <v>8</v>
      </c>
      <c r="F167" s="3" t="s">
        <v>9</v>
      </c>
      <c r="G167" s="3" t="s">
        <v>10</v>
      </c>
      <c r="H167" s="3" t="s">
        <v>5</v>
      </c>
      <c r="I167" s="3" t="s">
        <v>6</v>
      </c>
      <c r="J167" s="3" t="s">
        <v>7</v>
      </c>
      <c r="K167" s="3" t="s">
        <v>8</v>
      </c>
      <c r="L167" s="3" t="s">
        <v>9</v>
      </c>
      <c r="M167" s="3" t="s">
        <v>10</v>
      </c>
    </row>
    <row r="168" spans="1:17" x14ac:dyDescent="0.2">
      <c r="A168" s="3" t="s">
        <v>11</v>
      </c>
      <c r="B168" s="3">
        <v>0.37319000000000002</v>
      </c>
      <c r="C168" s="3">
        <v>6.5201999999999996E-2</v>
      </c>
      <c r="D168" s="3">
        <v>2.7351E-2</v>
      </c>
      <c r="E168" s="3">
        <v>1.8530999999999999E-2</v>
      </c>
      <c r="F168" s="3">
        <v>9.1450000000000004E-3</v>
      </c>
      <c r="G168" s="3">
        <v>7.3664999999999994E-2</v>
      </c>
      <c r="H168" s="4">
        <v>1.08E-18</v>
      </c>
      <c r="I168" s="4">
        <v>2.08E-19</v>
      </c>
      <c r="J168" s="4">
        <v>8.7299999999999997E-20</v>
      </c>
      <c r="K168" s="4">
        <v>5.9200000000000003E-20</v>
      </c>
      <c r="L168" s="4">
        <v>2.92E-20</v>
      </c>
      <c r="M168" s="4">
        <v>2.35E-19</v>
      </c>
    </row>
    <row r="169" spans="1:17" x14ac:dyDescent="0.2">
      <c r="A169" s="3" t="s">
        <v>12</v>
      </c>
      <c r="B169" s="3">
        <v>0.344837</v>
      </c>
      <c r="C169" s="3">
        <v>7.9830999999999999E-2</v>
      </c>
      <c r="D169" s="3">
        <v>3.5727000000000002E-2</v>
      </c>
      <c r="E169" s="3">
        <v>2.0215E-2</v>
      </c>
      <c r="F169" s="3">
        <v>9.1450000000000004E-3</v>
      </c>
      <c r="G169" s="3">
        <v>9.0231000000000006E-2</v>
      </c>
      <c r="H169" s="4">
        <v>9.9099999999999997E-19</v>
      </c>
      <c r="I169" s="4">
        <v>2.5499999999999999E-19</v>
      </c>
      <c r="J169" s="4">
        <v>1.14E-19</v>
      </c>
      <c r="K169" s="4">
        <v>6.4499999999999999E-20</v>
      </c>
      <c r="L169" s="4">
        <v>2.92E-20</v>
      </c>
      <c r="M169" s="4">
        <v>2.8799999999999998E-19</v>
      </c>
    </row>
    <row r="170" spans="1:17" x14ac:dyDescent="0.2">
      <c r="A170" s="3" t="s">
        <v>13</v>
      </c>
      <c r="B170" s="3">
        <v>0.37374400000000002</v>
      </c>
      <c r="C170" s="3">
        <v>5.1463000000000002E-2</v>
      </c>
      <c r="D170" s="3">
        <v>2.0657999999999999E-2</v>
      </c>
      <c r="E170" s="3">
        <v>2.1114999999999998E-2</v>
      </c>
      <c r="F170" s="3">
        <v>9.1450000000000004E-3</v>
      </c>
      <c r="G170" s="3">
        <v>6.0039000000000002E-2</v>
      </c>
      <c r="H170" s="4">
        <v>1.08E-18</v>
      </c>
      <c r="I170" s="4">
        <v>1.64E-19</v>
      </c>
      <c r="J170" s="4">
        <v>6.5899999999999997E-20</v>
      </c>
      <c r="K170" s="4">
        <v>6.7399999999999999E-20</v>
      </c>
      <c r="L170" s="4">
        <v>2.92E-20</v>
      </c>
      <c r="M170" s="4">
        <v>1.9199999999999999E-19</v>
      </c>
      <c r="O170">
        <f>D170/B170</f>
        <v>5.527312813048503E-2</v>
      </c>
      <c r="P170">
        <f>D170/C170</f>
        <v>0.40141460855371819</v>
      </c>
      <c r="Q170">
        <f>C170/B170</f>
        <v>0.13769585598698575</v>
      </c>
    </row>
    <row r="171" spans="1:17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7" x14ac:dyDescent="0.2">
      <c r="A172" s="3">
        <v>5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7" x14ac:dyDescent="0.2">
      <c r="A173" s="3"/>
      <c r="B173" s="3">
        <v>29450207</v>
      </c>
      <c r="C173" s="3">
        <v>12716119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7" x14ac:dyDescent="0.2">
      <c r="A174" s="3" t="s">
        <v>0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7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7" x14ac:dyDescent="0.2">
      <c r="B176" t="s">
        <v>1</v>
      </c>
      <c r="C176" t="s">
        <v>2</v>
      </c>
      <c r="D176" t="s">
        <v>3</v>
      </c>
      <c r="E176" t="s">
        <v>2</v>
      </c>
    </row>
    <row r="177" spans="1:17" x14ac:dyDescent="0.2">
      <c r="A177" t="s">
        <v>4</v>
      </c>
      <c r="B177" t="s">
        <v>5</v>
      </c>
      <c r="C177" t="s">
        <v>6</v>
      </c>
      <c r="D177" t="s">
        <v>7</v>
      </c>
      <c r="E177" t="s">
        <v>8</v>
      </c>
      <c r="F177" t="s">
        <v>9</v>
      </c>
      <c r="G177" t="s">
        <v>10</v>
      </c>
      <c r="H177" t="s">
        <v>5</v>
      </c>
      <c r="I177" t="s">
        <v>6</v>
      </c>
      <c r="J177" t="s">
        <v>7</v>
      </c>
      <c r="K177" t="s">
        <v>8</v>
      </c>
      <c r="L177" t="s">
        <v>9</v>
      </c>
      <c r="M177" t="s">
        <v>10</v>
      </c>
    </row>
    <row r="178" spans="1:17" x14ac:dyDescent="0.2">
      <c r="A178" t="s">
        <v>11</v>
      </c>
      <c r="B178">
        <v>0.42935000000000001</v>
      </c>
      <c r="C178">
        <v>0.100661</v>
      </c>
      <c r="D178">
        <v>2.8236000000000001E-2</v>
      </c>
      <c r="E178">
        <v>2.2936999999999999E-2</v>
      </c>
      <c r="F178">
        <v>7.2979999999999998E-3</v>
      </c>
      <c r="G178">
        <v>0.107281</v>
      </c>
      <c r="H178" s="1">
        <v>1.2997300000000001E-18</v>
      </c>
      <c r="I178" s="1">
        <v>3.21333E-19</v>
      </c>
      <c r="J178" s="1">
        <v>9.0136399999999998E-20</v>
      </c>
      <c r="K178" s="1">
        <v>7.3219099999999996E-20</v>
      </c>
      <c r="L178" s="1">
        <v>2.32968E-20</v>
      </c>
      <c r="M178" s="1">
        <v>3.4246599999999999E-19</v>
      </c>
    </row>
    <row r="179" spans="1:17" x14ac:dyDescent="0.2">
      <c r="A179" t="s">
        <v>12</v>
      </c>
      <c r="B179">
        <v>4.7793000000000002E-2</v>
      </c>
      <c r="C179">
        <v>0.121671</v>
      </c>
      <c r="D179">
        <v>2.2020000000000001E-2</v>
      </c>
      <c r="E179">
        <v>-8.737E-3</v>
      </c>
      <c r="F179">
        <v>7.2979999999999998E-3</v>
      </c>
      <c r="G179">
        <v>0.124171</v>
      </c>
      <c r="H179" s="1">
        <v>8.1712800000000005E-20</v>
      </c>
      <c r="I179" s="1">
        <v>3.8840199999999998E-19</v>
      </c>
      <c r="J179" s="1">
        <v>7.02919E-20</v>
      </c>
      <c r="K179" s="1">
        <v>-2.7890300000000001E-20</v>
      </c>
      <c r="L179" s="1">
        <v>2.32968E-20</v>
      </c>
      <c r="M179" s="1">
        <v>3.96381E-19</v>
      </c>
    </row>
    <row r="180" spans="1:17" x14ac:dyDescent="0.2">
      <c r="A180" t="s">
        <v>13</v>
      </c>
      <c r="B180">
        <v>0.28414499999999998</v>
      </c>
      <c r="C180">
        <v>7.8534000000000007E-2</v>
      </c>
      <c r="D180" s="2">
        <v>1.4978999999999999E-2</v>
      </c>
      <c r="E180">
        <v>1.2371999999999999E-2</v>
      </c>
      <c r="F180">
        <v>7.2979999999999998E-3</v>
      </c>
      <c r="G180">
        <v>8.1229999999999997E-2</v>
      </c>
      <c r="H180" s="1">
        <v>8.3620100000000002E-19</v>
      </c>
      <c r="I180" s="1">
        <v>2.50699E-19</v>
      </c>
      <c r="J180" s="1">
        <v>4.7815099999999998E-20</v>
      </c>
      <c r="K180" s="1">
        <v>3.9492999999999998E-20</v>
      </c>
      <c r="L180" s="1">
        <v>2.32968E-20</v>
      </c>
      <c r="M180" s="1">
        <v>2.59305E-19</v>
      </c>
      <c r="O180">
        <f>D180/B180</f>
        <v>5.271604286543842E-2</v>
      </c>
      <c r="P180">
        <f>D180/C180</f>
        <v>0.1907326762930705</v>
      </c>
      <c r="Q180">
        <f>C180/B180</f>
        <v>0.27638705590455581</v>
      </c>
    </row>
    <row r="182" spans="1:17" x14ac:dyDescent="0.2">
      <c r="A182" t="s">
        <v>14</v>
      </c>
    </row>
    <row r="184" spans="1:17" x14ac:dyDescent="0.2">
      <c r="B184" t="s">
        <v>1</v>
      </c>
      <c r="C184" t="s">
        <v>2</v>
      </c>
      <c r="D184" t="s">
        <v>3</v>
      </c>
      <c r="E184" t="s">
        <v>2</v>
      </c>
    </row>
    <row r="185" spans="1:17" x14ac:dyDescent="0.2">
      <c r="A185" t="s">
        <v>4</v>
      </c>
      <c r="B185" t="s">
        <v>5</v>
      </c>
      <c r="C185" t="s">
        <v>6</v>
      </c>
      <c r="D185" t="s">
        <v>7</v>
      </c>
      <c r="E185" t="s">
        <v>8</v>
      </c>
      <c r="F185" t="s">
        <v>9</v>
      </c>
      <c r="G185" t="s">
        <v>10</v>
      </c>
      <c r="H185" t="s">
        <v>5</v>
      </c>
      <c r="I185" t="s">
        <v>6</v>
      </c>
      <c r="J185" t="s">
        <v>7</v>
      </c>
      <c r="K185" t="s">
        <v>8</v>
      </c>
      <c r="L185" t="s">
        <v>9</v>
      </c>
      <c r="M185" t="s">
        <v>10</v>
      </c>
    </row>
    <row r="186" spans="1:17" x14ac:dyDescent="0.2">
      <c r="A186" t="s">
        <v>11</v>
      </c>
      <c r="B186">
        <v>0.25216300000000003</v>
      </c>
      <c r="C186">
        <v>8.5973999999999995E-2</v>
      </c>
      <c r="D186">
        <v>1.5731999999999999E-2</v>
      </c>
      <c r="E186">
        <v>1.0547000000000001E-2</v>
      </c>
      <c r="F186">
        <v>8.1720000000000004E-3</v>
      </c>
      <c r="G186">
        <v>8.8414000000000006E-2</v>
      </c>
      <c r="H186" s="1">
        <v>7.3242799999999996E-19</v>
      </c>
      <c r="I186" s="1">
        <v>2.7444799999999998E-19</v>
      </c>
      <c r="J186" s="1">
        <v>5.0221299999999997E-20</v>
      </c>
      <c r="K186" s="1">
        <v>3.3667400000000003E-20</v>
      </c>
      <c r="L186" s="1">
        <v>2.6087E-20</v>
      </c>
      <c r="M186" s="1">
        <v>2.8223700000000002E-19</v>
      </c>
    </row>
    <row r="187" spans="1:17" x14ac:dyDescent="0.2">
      <c r="A187" t="s">
        <v>12</v>
      </c>
      <c r="B187">
        <v>0.24355199999999999</v>
      </c>
      <c r="C187">
        <v>0.104021</v>
      </c>
      <c r="D187">
        <v>2.4947E-2</v>
      </c>
      <c r="E187">
        <v>-3.3909999999999999E-3</v>
      </c>
      <c r="F187">
        <v>8.1720000000000004E-3</v>
      </c>
      <c r="G187">
        <v>0.107336</v>
      </c>
      <c r="H187" s="1">
        <v>7.0494200000000001E-19</v>
      </c>
      <c r="I187" s="1">
        <v>3.3205799999999999E-19</v>
      </c>
      <c r="J187" s="1">
        <v>7.96379E-20</v>
      </c>
      <c r="K187" s="1">
        <v>-1.08245E-20</v>
      </c>
      <c r="L187" s="1">
        <v>2.6087E-20</v>
      </c>
      <c r="M187" s="1">
        <v>3.4263999999999998E-19</v>
      </c>
    </row>
    <row r="188" spans="1:17" x14ac:dyDescent="0.2">
      <c r="A188" t="s">
        <v>13</v>
      </c>
      <c r="B188">
        <v>0.25718099999999999</v>
      </c>
      <c r="C188">
        <v>6.7111000000000004E-2</v>
      </c>
      <c r="D188">
        <v>1.3521E-2</v>
      </c>
      <c r="E188">
        <v>5.8409999999999998E-3</v>
      </c>
      <c r="F188">
        <v>8.1720000000000004E-3</v>
      </c>
      <c r="G188">
        <v>6.9193000000000005E-2</v>
      </c>
      <c r="H188" s="1">
        <v>7.4844799999999997E-19</v>
      </c>
      <c r="I188" s="1">
        <v>2.14234E-19</v>
      </c>
      <c r="J188" s="1">
        <v>4.3162400000000002E-20</v>
      </c>
      <c r="K188" s="1">
        <v>1.8646400000000001E-20</v>
      </c>
      <c r="L188" s="1">
        <v>2.6087E-20</v>
      </c>
      <c r="M188" s="1">
        <v>2.2087800000000002E-19</v>
      </c>
      <c r="O188">
        <f>D188/B188</f>
        <v>5.2573868209548916E-2</v>
      </c>
      <c r="P188">
        <f>D188/C188</f>
        <v>0.2014721878678607</v>
      </c>
      <c r="Q188">
        <f>C188/B188</f>
        <v>0.2609485148591848</v>
      </c>
    </row>
    <row r="190" spans="1:17" x14ac:dyDescent="0.2">
      <c r="A190" t="s">
        <v>15</v>
      </c>
    </row>
    <row r="192" spans="1:17" x14ac:dyDescent="0.2">
      <c r="B192" t="s">
        <v>1</v>
      </c>
      <c r="C192" t="s">
        <v>2</v>
      </c>
      <c r="D192" t="s">
        <v>3</v>
      </c>
      <c r="E192" t="s">
        <v>2</v>
      </c>
    </row>
    <row r="193" spans="1:17" x14ac:dyDescent="0.2">
      <c r="A193" t="s">
        <v>4</v>
      </c>
      <c r="B193" t="s">
        <v>5</v>
      </c>
      <c r="C193" t="s">
        <v>6</v>
      </c>
      <c r="D193" t="s">
        <v>7</v>
      </c>
      <c r="E193" t="s">
        <v>8</v>
      </c>
      <c r="F193" t="s">
        <v>9</v>
      </c>
      <c r="G193" t="s">
        <v>10</v>
      </c>
      <c r="H193" t="s">
        <v>5</v>
      </c>
      <c r="I193" t="s">
        <v>6</v>
      </c>
      <c r="J193" t="s">
        <v>7</v>
      </c>
      <c r="K193" t="s">
        <v>8</v>
      </c>
      <c r="L193" t="s">
        <v>9</v>
      </c>
      <c r="M193" t="s">
        <v>10</v>
      </c>
    </row>
    <row r="194" spans="1:17" x14ac:dyDescent="0.2">
      <c r="A194" t="s">
        <v>11</v>
      </c>
      <c r="B194">
        <v>0.51987499999999998</v>
      </c>
      <c r="C194">
        <v>7.0523000000000002E-2</v>
      </c>
      <c r="D194">
        <v>3.0529000000000001E-2</v>
      </c>
      <c r="E194">
        <v>2.5644E-2</v>
      </c>
      <c r="F194">
        <v>8.2430000000000003E-3</v>
      </c>
      <c r="G194">
        <v>8.1432000000000004E-2</v>
      </c>
      <c r="H194" s="1">
        <v>1.5650599999999999E-18</v>
      </c>
      <c r="I194" s="1">
        <v>2.2512499999999999E-19</v>
      </c>
      <c r="J194" s="1">
        <v>9.7456300000000005E-20</v>
      </c>
      <c r="K194" s="1">
        <v>8.1861899999999996E-20</v>
      </c>
      <c r="L194" s="1">
        <v>2.6313399999999999E-20</v>
      </c>
      <c r="M194" s="1">
        <v>2.5994799999999998E-19</v>
      </c>
    </row>
    <row r="195" spans="1:17" x14ac:dyDescent="0.2">
      <c r="A195" t="s">
        <v>12</v>
      </c>
      <c r="B195">
        <v>0.460476</v>
      </c>
      <c r="C195">
        <v>8.6142999999999997E-2</v>
      </c>
      <c r="D195">
        <v>3.6087000000000001E-2</v>
      </c>
      <c r="E195">
        <v>1.1103999999999999E-2</v>
      </c>
      <c r="F195">
        <v>8.2430000000000003E-3</v>
      </c>
      <c r="G195">
        <v>9.4413999999999998E-2</v>
      </c>
      <c r="H195" s="1">
        <v>1.3754399999999999E-18</v>
      </c>
      <c r="I195" s="1">
        <v>2.7498599999999998E-19</v>
      </c>
      <c r="J195" s="1">
        <v>1.15199E-19</v>
      </c>
      <c r="K195" s="1">
        <v>3.54473E-20</v>
      </c>
      <c r="L195" s="1">
        <v>2.6313399999999999E-20</v>
      </c>
      <c r="M195" s="1">
        <v>3.01392E-19</v>
      </c>
    </row>
    <row r="196" spans="1:17" x14ac:dyDescent="0.2">
      <c r="A196" t="s">
        <v>13</v>
      </c>
      <c r="B196">
        <v>0.50935799999999998</v>
      </c>
      <c r="C196">
        <v>5.5300000000000002E-2</v>
      </c>
      <c r="D196">
        <v>2.3029000000000001E-2</v>
      </c>
      <c r="E196">
        <v>2.1682E-2</v>
      </c>
      <c r="F196">
        <v>8.2430000000000003E-3</v>
      </c>
      <c r="G196">
        <v>6.4237000000000002E-2</v>
      </c>
      <c r="H196" s="1">
        <v>1.53148E-18</v>
      </c>
      <c r="I196" s="1">
        <v>1.7652900000000001E-19</v>
      </c>
      <c r="J196" s="1">
        <v>7.3512900000000001E-20</v>
      </c>
      <c r="K196" s="1">
        <v>6.9214300000000001E-20</v>
      </c>
      <c r="L196" s="1">
        <v>2.6313399999999999E-20</v>
      </c>
      <c r="M196" s="1">
        <v>2.0506E-19</v>
      </c>
      <c r="O196">
        <f>D196/B196</f>
        <v>4.5211815658142217E-2</v>
      </c>
      <c r="P196">
        <f>D196/C196</f>
        <v>0.41643761301989152</v>
      </c>
      <c r="Q196">
        <f>C196/B196</f>
        <v>0.10856804055300988</v>
      </c>
    </row>
    <row r="198" spans="1:17" x14ac:dyDescent="0.2">
      <c r="A198" t="s">
        <v>16</v>
      </c>
    </row>
    <row r="200" spans="1:17" x14ac:dyDescent="0.2">
      <c r="B200" t="s">
        <v>1</v>
      </c>
      <c r="C200" t="s">
        <v>2</v>
      </c>
      <c r="D200" t="s">
        <v>3</v>
      </c>
      <c r="E200" t="s">
        <v>2</v>
      </c>
    </row>
    <row r="201" spans="1:17" x14ac:dyDescent="0.2">
      <c r="A201" t="s">
        <v>4</v>
      </c>
      <c r="B201" t="s">
        <v>5</v>
      </c>
      <c r="C201" t="s">
        <v>6</v>
      </c>
      <c r="D201" t="s">
        <v>7</v>
      </c>
      <c r="E201" t="s">
        <v>8</v>
      </c>
      <c r="F201" t="s">
        <v>9</v>
      </c>
      <c r="G201" t="s">
        <v>10</v>
      </c>
      <c r="H201" t="s">
        <v>5</v>
      </c>
      <c r="I201" t="s">
        <v>6</v>
      </c>
      <c r="J201" t="s">
        <v>7</v>
      </c>
      <c r="K201" t="s">
        <v>8</v>
      </c>
      <c r="L201" t="s">
        <v>9</v>
      </c>
      <c r="M201" t="s">
        <v>10</v>
      </c>
    </row>
    <row r="202" spans="1:17" x14ac:dyDescent="0.2">
      <c r="A202" t="s">
        <v>11</v>
      </c>
      <c r="B202">
        <v>0.36172300000000002</v>
      </c>
      <c r="C202">
        <v>6.1892999999999997E-2</v>
      </c>
      <c r="D202">
        <v>2.1537000000000001E-2</v>
      </c>
      <c r="E202">
        <v>1.6851000000000001E-2</v>
      </c>
      <c r="F202">
        <v>9.1450000000000004E-3</v>
      </c>
      <c r="G202">
        <v>6.8280999999999994E-2</v>
      </c>
      <c r="H202" s="1">
        <v>1.0452699999999999E-18</v>
      </c>
      <c r="I202" s="1">
        <v>1.97577E-19</v>
      </c>
      <c r="J202" s="1">
        <v>6.8751900000000002E-20</v>
      </c>
      <c r="K202" s="1">
        <v>5.3793299999999998E-20</v>
      </c>
      <c r="L202" s="1">
        <v>2.91939E-20</v>
      </c>
      <c r="M202" s="1">
        <v>2.17967E-19</v>
      </c>
    </row>
    <row r="203" spans="1:17" x14ac:dyDescent="0.2">
      <c r="A203" t="s">
        <v>12</v>
      </c>
      <c r="B203">
        <v>0.34275899999999998</v>
      </c>
      <c r="C203">
        <v>7.5652999999999998E-2</v>
      </c>
      <c r="D203">
        <v>2.8396000000000001E-2</v>
      </c>
      <c r="E203">
        <v>2.1035000000000002E-2</v>
      </c>
      <c r="F203">
        <v>9.1450000000000004E-3</v>
      </c>
      <c r="G203">
        <v>8.3998000000000003E-2</v>
      </c>
      <c r="H203" s="1">
        <v>9.8473299999999992E-19</v>
      </c>
      <c r="I203" s="1">
        <v>2.4149999999999998E-19</v>
      </c>
      <c r="J203" s="1">
        <v>9.0645799999999995E-20</v>
      </c>
      <c r="K203" s="1">
        <v>6.7147599999999999E-20</v>
      </c>
      <c r="L203" s="1">
        <v>2.91939E-20</v>
      </c>
      <c r="M203" s="1">
        <v>2.6814100000000001E-19</v>
      </c>
    </row>
    <row r="204" spans="1:17" x14ac:dyDescent="0.2">
      <c r="A204" t="s">
        <v>13</v>
      </c>
      <c r="B204">
        <v>0.35456399999999999</v>
      </c>
      <c r="C204">
        <v>4.854E-2</v>
      </c>
      <c r="D204">
        <v>1.6097E-2</v>
      </c>
      <c r="E204">
        <v>1.9047000000000001E-2</v>
      </c>
      <c r="F204">
        <v>9.1450000000000004E-3</v>
      </c>
      <c r="G204">
        <v>5.5331999999999999E-2</v>
      </c>
      <c r="H204" s="1">
        <v>1.0224199999999999E-18</v>
      </c>
      <c r="I204" s="1">
        <v>1.5495100000000001E-19</v>
      </c>
      <c r="J204" s="1">
        <v>5.1384400000000001E-20</v>
      </c>
      <c r="K204" s="1">
        <v>6.0802599999999996E-20</v>
      </c>
      <c r="L204" s="1">
        <v>2.91939E-20</v>
      </c>
      <c r="M204" s="1">
        <v>1.7663300000000001E-19</v>
      </c>
      <c r="O204">
        <f>D204/B204</f>
        <v>4.5399420132895614E-2</v>
      </c>
      <c r="P204">
        <f>D204/C204</f>
        <v>0.33162340337865676</v>
      </c>
      <c r="Q204">
        <f>C204/B204</f>
        <v>0.13690053135682134</v>
      </c>
    </row>
    <row r="205" spans="1:17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7" x14ac:dyDescent="0.2">
      <c r="A206" s="3">
        <v>6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7" x14ac:dyDescent="0.2">
      <c r="A207" s="3"/>
      <c r="B207" s="3">
        <v>32885451</v>
      </c>
      <c r="C207" s="3">
        <v>14198918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7" x14ac:dyDescent="0.2">
      <c r="A208" s="3" t="s">
        <v>0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7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7" x14ac:dyDescent="0.2">
      <c r="A210" s="3"/>
      <c r="B210" s="3" t="s">
        <v>1</v>
      </c>
      <c r="C210" s="3" t="s">
        <v>2</v>
      </c>
      <c r="D210" s="3" t="s">
        <v>3</v>
      </c>
      <c r="E210" s="3" t="s">
        <v>2</v>
      </c>
      <c r="F210" s="3"/>
      <c r="G210" s="3"/>
      <c r="H210" s="3"/>
      <c r="I210" s="3"/>
      <c r="J210" s="3"/>
      <c r="K210" s="3"/>
      <c r="L210" s="3"/>
      <c r="M210" s="3"/>
    </row>
    <row r="211" spans="1:17" x14ac:dyDescent="0.2">
      <c r="A211" s="3" t="s">
        <v>4</v>
      </c>
      <c r="B211" s="3" t="s">
        <v>5</v>
      </c>
      <c r="C211" s="3" t="s">
        <v>6</v>
      </c>
      <c r="D211" s="3" t="s">
        <v>7</v>
      </c>
      <c r="E211" s="3" t="s">
        <v>8</v>
      </c>
      <c r="F211" s="3" t="s">
        <v>9</v>
      </c>
      <c r="G211" s="3" t="s">
        <v>10</v>
      </c>
      <c r="H211" s="3" t="s">
        <v>5</v>
      </c>
      <c r="I211" s="3" t="s">
        <v>6</v>
      </c>
      <c r="J211" s="3" t="s">
        <v>7</v>
      </c>
      <c r="K211" s="3" t="s">
        <v>8</v>
      </c>
      <c r="L211" s="3" t="s">
        <v>9</v>
      </c>
      <c r="M211" s="3" t="s">
        <v>10</v>
      </c>
    </row>
    <row r="212" spans="1:17" x14ac:dyDescent="0.2">
      <c r="A212" s="3" t="s">
        <v>11</v>
      </c>
      <c r="B212" s="3">
        <v>0.43368600000000002</v>
      </c>
      <c r="C212" s="3">
        <v>0.10234500000000001</v>
      </c>
      <c r="D212" s="3">
        <v>2.7269000000000002E-2</v>
      </c>
      <c r="E212" s="3">
        <v>2.6424E-2</v>
      </c>
      <c r="F212" s="3">
        <v>7.2979999999999998E-3</v>
      </c>
      <c r="G212" s="3">
        <v>0.109406</v>
      </c>
      <c r="H212" s="4">
        <v>1.31E-18</v>
      </c>
      <c r="I212" s="4">
        <v>3.2700000000000002E-19</v>
      </c>
      <c r="J212" s="4">
        <v>8.6999999999999999E-20</v>
      </c>
      <c r="K212" s="4">
        <v>8.4399999999999997E-20</v>
      </c>
      <c r="L212" s="4">
        <v>2.33E-20</v>
      </c>
      <c r="M212" s="4">
        <v>3.4899999999999998E-19</v>
      </c>
    </row>
    <row r="213" spans="1:17" x14ac:dyDescent="0.2">
      <c r="A213" s="3" t="s">
        <v>12</v>
      </c>
      <c r="B213" s="3">
        <v>5.3228999999999999E-2</v>
      </c>
      <c r="C213" s="3">
        <v>0.12046800000000001</v>
      </c>
      <c r="D213" s="3">
        <v>2.0187E-2</v>
      </c>
      <c r="E213" s="3">
        <v>-7.6E-3</v>
      </c>
      <c r="F213" s="3">
        <v>7.2979999999999998E-3</v>
      </c>
      <c r="G213" s="3">
        <v>0.122601</v>
      </c>
      <c r="H213" s="4">
        <v>9.9100000000000004E-20</v>
      </c>
      <c r="I213" s="4">
        <v>3.8500000000000002E-19</v>
      </c>
      <c r="J213" s="4">
        <v>6.4399999999999995E-20</v>
      </c>
      <c r="K213" s="4">
        <v>-2.43E-20</v>
      </c>
      <c r="L213" s="4">
        <v>2.33E-20</v>
      </c>
      <c r="M213" s="4">
        <v>3.9099999999999998E-19</v>
      </c>
    </row>
    <row r="214" spans="1:17" x14ac:dyDescent="0.2">
      <c r="A214" s="3" t="s">
        <v>13</v>
      </c>
      <c r="B214" s="3">
        <v>0.28383000000000003</v>
      </c>
      <c r="C214" s="3">
        <v>7.8709000000000001E-2</v>
      </c>
      <c r="D214" s="5">
        <v>1.4023000000000001E-2</v>
      </c>
      <c r="E214" s="5">
        <v>1.4192E-2</v>
      </c>
      <c r="F214" s="5">
        <v>7.2979999999999998E-3</v>
      </c>
      <c r="G214" s="5">
        <v>8.1526000000000001E-2</v>
      </c>
      <c r="H214" s="4">
        <v>8.3499999999999999E-19</v>
      </c>
      <c r="I214" s="4">
        <v>2.51E-19</v>
      </c>
      <c r="J214" s="4">
        <v>4.4800000000000001E-20</v>
      </c>
      <c r="K214" s="4">
        <v>4.5299999999999999E-20</v>
      </c>
      <c r="L214" s="4">
        <v>2.33E-20</v>
      </c>
      <c r="M214" s="4">
        <v>2.6000000000000001E-19</v>
      </c>
      <c r="O214">
        <f>D214/B214</f>
        <v>4.9406334777859988E-2</v>
      </c>
      <c r="P214">
        <f>D214/C214</f>
        <v>0.17816259894040073</v>
      </c>
      <c r="Q214">
        <f>C214/B214</f>
        <v>0.27731036183631047</v>
      </c>
    </row>
    <row r="215" spans="1:17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7" x14ac:dyDescent="0.2">
      <c r="A216" s="3" t="s">
        <v>14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7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7" x14ac:dyDescent="0.2">
      <c r="A218" s="3"/>
      <c r="B218" s="3" t="s">
        <v>1</v>
      </c>
      <c r="C218" s="3" t="s">
        <v>2</v>
      </c>
      <c r="D218" s="3" t="s">
        <v>3</v>
      </c>
      <c r="E218" s="3" t="s">
        <v>2</v>
      </c>
      <c r="F218" s="3"/>
      <c r="G218" s="3"/>
      <c r="H218" s="3"/>
      <c r="I218" s="3"/>
      <c r="J218" s="3"/>
      <c r="K218" s="3"/>
      <c r="L218" s="3"/>
      <c r="M218" s="3"/>
    </row>
    <row r="219" spans="1:17" x14ac:dyDescent="0.2">
      <c r="A219" s="3" t="s">
        <v>4</v>
      </c>
      <c r="B219" s="3" t="s">
        <v>5</v>
      </c>
      <c r="C219" s="3" t="s">
        <v>6</v>
      </c>
      <c r="D219" s="3" t="s">
        <v>7</v>
      </c>
      <c r="E219" s="3" t="s">
        <v>8</v>
      </c>
      <c r="F219" s="3" t="s">
        <v>9</v>
      </c>
      <c r="G219" s="3" t="s">
        <v>10</v>
      </c>
      <c r="H219" s="3" t="s">
        <v>5</v>
      </c>
      <c r="I219" s="3" t="s">
        <v>6</v>
      </c>
      <c r="J219" s="3" t="s">
        <v>7</v>
      </c>
      <c r="K219" s="3" t="s">
        <v>8</v>
      </c>
      <c r="L219" s="3" t="s">
        <v>9</v>
      </c>
      <c r="M219" s="3" t="s">
        <v>10</v>
      </c>
    </row>
    <row r="220" spans="1:17" x14ac:dyDescent="0.2">
      <c r="A220" s="3" t="s">
        <v>11</v>
      </c>
      <c r="B220" s="3">
        <v>0.26042500000000002</v>
      </c>
      <c r="C220" s="3">
        <v>8.7414000000000006E-2</v>
      </c>
      <c r="D220" s="3">
        <v>1.5143E-2</v>
      </c>
      <c r="E220" s="3">
        <v>1.3075E-2</v>
      </c>
      <c r="F220" s="3">
        <v>8.1720000000000004E-3</v>
      </c>
      <c r="G220" s="3">
        <v>9.0046000000000001E-2</v>
      </c>
      <c r="H220" s="4">
        <v>7.5899999999999997E-19</v>
      </c>
      <c r="I220" s="4">
        <v>2.7900000000000002E-19</v>
      </c>
      <c r="J220" s="4">
        <v>4.8300000000000003E-20</v>
      </c>
      <c r="K220" s="4">
        <v>4.17E-20</v>
      </c>
      <c r="L220" s="4">
        <v>2.61E-20</v>
      </c>
      <c r="M220" s="4">
        <v>2.8699999999999999E-19</v>
      </c>
    </row>
    <row r="221" spans="1:17" x14ac:dyDescent="0.2">
      <c r="A221" s="3" t="s">
        <v>12</v>
      </c>
      <c r="B221" s="3">
        <v>0.250087</v>
      </c>
      <c r="C221" s="3">
        <v>0.10298499999999999</v>
      </c>
      <c r="D221" s="3">
        <v>2.281E-2</v>
      </c>
      <c r="E221" s="3">
        <v>-7.9900000000000001E-4</v>
      </c>
      <c r="F221" s="3">
        <v>8.1720000000000004E-3</v>
      </c>
      <c r="G221" s="3">
        <v>0.10580000000000001</v>
      </c>
      <c r="H221" s="4">
        <v>7.2600000000000003E-19</v>
      </c>
      <c r="I221" s="4">
        <v>3.2899999999999999E-19</v>
      </c>
      <c r="J221" s="4">
        <v>7.2799999999999997E-20</v>
      </c>
      <c r="K221" s="4">
        <v>-2.55E-21</v>
      </c>
      <c r="L221" s="4">
        <v>2.61E-20</v>
      </c>
      <c r="M221" s="4">
        <v>3.38E-19</v>
      </c>
    </row>
    <row r="222" spans="1:17" x14ac:dyDescent="0.2">
      <c r="A222" s="3" t="s">
        <v>13</v>
      </c>
      <c r="B222" s="3">
        <v>0.26319700000000001</v>
      </c>
      <c r="C222" s="3">
        <v>6.7258999999999999E-2</v>
      </c>
      <c r="D222" s="3">
        <v>1.2631E-2</v>
      </c>
      <c r="E222" s="3">
        <v>8.1359999999999991E-3</v>
      </c>
      <c r="F222" s="3">
        <v>8.1720000000000004E-3</v>
      </c>
      <c r="G222" s="3">
        <v>6.9399000000000002E-2</v>
      </c>
      <c r="H222" s="4">
        <v>7.6799999999999998E-19</v>
      </c>
      <c r="I222" s="4">
        <v>2.1500000000000001E-19</v>
      </c>
      <c r="J222" s="4">
        <v>4.0300000000000002E-20</v>
      </c>
      <c r="K222" s="4">
        <v>2.5999999999999999E-20</v>
      </c>
      <c r="L222" s="4">
        <v>2.61E-20</v>
      </c>
      <c r="M222" s="4">
        <v>2.22E-19</v>
      </c>
      <c r="O222">
        <f>D222/B222</f>
        <v>4.7990668586648022E-2</v>
      </c>
      <c r="P222">
        <f>D222/C222</f>
        <v>0.18779642873072749</v>
      </c>
      <c r="Q222">
        <f>C222/B222</f>
        <v>0.25554622583084152</v>
      </c>
    </row>
    <row r="223" spans="1:17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7" x14ac:dyDescent="0.2">
      <c r="A224" s="3" t="s">
        <v>15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7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7" x14ac:dyDescent="0.2">
      <c r="A226" s="3"/>
      <c r="B226" s="3" t="s">
        <v>1</v>
      </c>
      <c r="C226" s="3" t="s">
        <v>2</v>
      </c>
      <c r="D226" s="3" t="s">
        <v>3</v>
      </c>
      <c r="E226" s="3" t="s">
        <v>2</v>
      </c>
      <c r="F226" s="3"/>
      <c r="G226" s="3"/>
      <c r="H226" s="3"/>
      <c r="I226" s="3"/>
      <c r="J226" s="3"/>
      <c r="K226" s="3"/>
      <c r="L226" s="3"/>
      <c r="M226" s="3"/>
    </row>
    <row r="227" spans="1:17" x14ac:dyDescent="0.2">
      <c r="A227" s="3" t="s">
        <v>4</v>
      </c>
      <c r="B227" s="3" t="s">
        <v>5</v>
      </c>
      <c r="C227" s="3" t="s">
        <v>6</v>
      </c>
      <c r="D227" s="3" t="s">
        <v>7</v>
      </c>
      <c r="E227" s="3" t="s">
        <v>8</v>
      </c>
      <c r="F227" s="3" t="s">
        <v>9</v>
      </c>
      <c r="G227" s="3" t="s">
        <v>10</v>
      </c>
      <c r="H227" s="3" t="s">
        <v>5</v>
      </c>
      <c r="I227" s="3" t="s">
        <v>6</v>
      </c>
      <c r="J227" s="3" t="s">
        <v>7</v>
      </c>
      <c r="K227" s="3" t="s">
        <v>8</v>
      </c>
      <c r="L227" s="3" t="s">
        <v>9</v>
      </c>
      <c r="M227" s="3" t="s">
        <v>10</v>
      </c>
    </row>
    <row r="228" spans="1:17" x14ac:dyDescent="0.2">
      <c r="A228" s="3" t="s">
        <v>11</v>
      </c>
      <c r="B228" s="3">
        <v>0.53098199999999995</v>
      </c>
      <c r="C228" s="3">
        <v>7.1698999999999999E-2</v>
      </c>
      <c r="D228" s="3">
        <v>2.9434999999999999E-2</v>
      </c>
      <c r="E228" s="3">
        <v>3.0391999999999999E-2</v>
      </c>
      <c r="F228" s="3">
        <v>8.2430000000000003E-3</v>
      </c>
      <c r="G228" s="3">
        <v>8.3658999999999997E-2</v>
      </c>
      <c r="H228" s="4">
        <v>1.6E-18</v>
      </c>
      <c r="I228" s="4">
        <v>2.2899999999999999E-19</v>
      </c>
      <c r="J228" s="4">
        <v>9.4000000000000003E-20</v>
      </c>
      <c r="K228" s="4">
        <v>9.6999999999999994E-20</v>
      </c>
      <c r="L228" s="4">
        <v>2.63E-20</v>
      </c>
      <c r="M228" s="4">
        <v>2.67E-19</v>
      </c>
    </row>
    <row r="229" spans="1:17" x14ac:dyDescent="0.2">
      <c r="A229" s="3" t="s">
        <v>12</v>
      </c>
      <c r="B229" s="3">
        <v>0.464472</v>
      </c>
      <c r="C229" s="3">
        <v>8.5272000000000001E-2</v>
      </c>
      <c r="D229" s="3">
        <v>3.2887E-2</v>
      </c>
      <c r="E229" s="3">
        <v>1.4763E-2</v>
      </c>
      <c r="F229" s="3">
        <v>8.2430000000000003E-3</v>
      </c>
      <c r="G229" s="3">
        <v>9.2945E-2</v>
      </c>
      <c r="H229" s="4">
        <v>1.3899999999999999E-18</v>
      </c>
      <c r="I229" s="4">
        <v>2.7199999999999998E-19</v>
      </c>
      <c r="J229" s="4">
        <v>1.0499999999999999E-19</v>
      </c>
      <c r="K229" s="4">
        <v>4.7099999999999999E-20</v>
      </c>
      <c r="L229" s="4">
        <v>2.63E-20</v>
      </c>
      <c r="M229" s="4">
        <v>2.9699999999999999E-19</v>
      </c>
    </row>
    <row r="230" spans="1:17" x14ac:dyDescent="0.2">
      <c r="A230" s="3" t="s">
        <v>13</v>
      </c>
      <c r="B230" s="3">
        <v>0.51367300000000005</v>
      </c>
      <c r="C230" s="3">
        <v>5.5414999999999999E-2</v>
      </c>
      <c r="D230" s="3">
        <v>2.1520000000000001E-2</v>
      </c>
      <c r="E230" s="3">
        <v>2.5458999999999999E-2</v>
      </c>
      <c r="F230" s="3">
        <v>8.2430000000000003E-3</v>
      </c>
      <c r="G230" s="3">
        <v>6.5193000000000001E-2</v>
      </c>
      <c r="H230" s="4">
        <v>1.55E-18</v>
      </c>
      <c r="I230" s="4">
        <v>1.77E-19</v>
      </c>
      <c r="J230" s="4">
        <v>6.8700000000000006E-20</v>
      </c>
      <c r="K230" s="4">
        <v>8.1300000000000003E-20</v>
      </c>
      <c r="L230" s="4">
        <v>2.63E-20</v>
      </c>
      <c r="M230" s="4">
        <v>2.08E-19</v>
      </c>
      <c r="O230">
        <f>D230/B230</f>
        <v>4.1894356915781049E-2</v>
      </c>
      <c r="P230">
        <f>D230/C230</f>
        <v>0.38834250654155017</v>
      </c>
      <c r="Q230">
        <f>C230/B230</f>
        <v>0.1078799158219334</v>
      </c>
    </row>
    <row r="231" spans="1:17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7" x14ac:dyDescent="0.2">
      <c r="A232" s="3" t="s">
        <v>16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7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7" x14ac:dyDescent="0.2">
      <c r="A234" s="3"/>
      <c r="B234" s="3" t="s">
        <v>1</v>
      </c>
      <c r="C234" s="3" t="s">
        <v>2</v>
      </c>
      <c r="D234" s="3" t="s">
        <v>3</v>
      </c>
      <c r="E234" s="3" t="s">
        <v>2</v>
      </c>
      <c r="F234" s="3"/>
      <c r="G234" s="3"/>
      <c r="H234" s="3"/>
      <c r="I234" s="3"/>
      <c r="J234" s="3"/>
      <c r="K234" s="3"/>
      <c r="L234" s="3"/>
      <c r="M234" s="3"/>
    </row>
    <row r="235" spans="1:17" x14ac:dyDescent="0.2">
      <c r="A235" s="3" t="s">
        <v>4</v>
      </c>
      <c r="B235" s="3" t="s">
        <v>5</v>
      </c>
      <c r="C235" s="3" t="s">
        <v>6</v>
      </c>
      <c r="D235" s="3" t="s">
        <v>7</v>
      </c>
      <c r="E235" s="3" t="s">
        <v>8</v>
      </c>
      <c r="F235" s="3" t="s">
        <v>9</v>
      </c>
      <c r="G235" s="3" t="s">
        <v>10</v>
      </c>
      <c r="H235" s="3" t="s">
        <v>5</v>
      </c>
      <c r="I235" s="3" t="s">
        <v>6</v>
      </c>
      <c r="J235" s="3" t="s">
        <v>7</v>
      </c>
      <c r="K235" s="3" t="s">
        <v>8</v>
      </c>
      <c r="L235" s="3" t="s">
        <v>9</v>
      </c>
      <c r="M235" s="3" t="s">
        <v>10</v>
      </c>
    </row>
    <row r="236" spans="1:17" x14ac:dyDescent="0.2">
      <c r="A236" s="3" t="s">
        <v>11</v>
      </c>
      <c r="B236" s="3">
        <v>0.36841600000000002</v>
      </c>
      <c r="C236" s="3">
        <v>6.2918000000000002E-2</v>
      </c>
      <c r="D236" s="3">
        <v>2.0782999999999999E-2</v>
      </c>
      <c r="E236" s="3">
        <v>2.0039999999999999E-2</v>
      </c>
      <c r="F236" s="3">
        <v>9.1450000000000004E-3</v>
      </c>
      <c r="G236" s="3">
        <v>6.9827E-2</v>
      </c>
      <c r="H236" s="4">
        <v>1.0700000000000001E-18</v>
      </c>
      <c r="I236" s="4">
        <v>2.01E-19</v>
      </c>
      <c r="J236" s="4">
        <v>6.6299999999999998E-20</v>
      </c>
      <c r="K236" s="4">
        <v>6.3999999999999994E-20</v>
      </c>
      <c r="L236" s="4">
        <v>2.92E-20</v>
      </c>
      <c r="M236" s="4">
        <v>2.2299999999999999E-19</v>
      </c>
    </row>
    <row r="237" spans="1:17" x14ac:dyDescent="0.2">
      <c r="A237" s="3" t="s">
        <v>12</v>
      </c>
      <c r="B237" s="3">
        <v>0.33121800000000001</v>
      </c>
      <c r="C237" s="3">
        <v>7.4872999999999995E-2</v>
      </c>
      <c r="D237" s="3">
        <v>2.6016000000000001E-2</v>
      </c>
      <c r="E237" s="3">
        <v>2.1860000000000001E-2</v>
      </c>
      <c r="F237" s="3">
        <v>9.1450000000000004E-3</v>
      </c>
      <c r="G237" s="3">
        <v>8.2730999999999999E-2</v>
      </c>
      <c r="H237" s="4">
        <v>9.4800000000000008E-19</v>
      </c>
      <c r="I237" s="4">
        <v>2.3899999999999999E-19</v>
      </c>
      <c r="J237" s="4">
        <v>8.2999999999999999E-20</v>
      </c>
      <c r="K237" s="4">
        <v>6.9799999999999994E-20</v>
      </c>
      <c r="L237" s="4">
        <v>2.92E-20</v>
      </c>
      <c r="M237" s="4">
        <v>2.64E-19</v>
      </c>
    </row>
    <row r="238" spans="1:17" x14ac:dyDescent="0.2">
      <c r="A238" s="3" t="s">
        <v>13</v>
      </c>
      <c r="B238" s="3">
        <v>0.354902</v>
      </c>
      <c r="C238" s="3">
        <v>4.8635999999999999E-2</v>
      </c>
      <c r="D238" s="6">
        <v>1.5037999999999999E-2</v>
      </c>
      <c r="E238" s="3">
        <v>2.1406999999999999E-2</v>
      </c>
      <c r="F238" s="3">
        <v>9.1450000000000004E-3</v>
      </c>
      <c r="G238" s="3">
        <v>5.5978E-2</v>
      </c>
      <c r="H238" s="4">
        <v>1.02E-18</v>
      </c>
      <c r="I238" s="4">
        <v>1.5499999999999999E-19</v>
      </c>
      <c r="J238" s="4">
        <v>4.7999999999999999E-20</v>
      </c>
      <c r="K238" s="4">
        <v>6.8300000000000004E-20</v>
      </c>
      <c r="L238" s="4">
        <v>2.92E-20</v>
      </c>
      <c r="M238" s="4">
        <v>1.79E-19</v>
      </c>
      <c r="O238">
        <f>D238/B238</f>
        <v>4.2372260511352428E-2</v>
      </c>
      <c r="P238">
        <f>D238/C238</f>
        <v>0.30919483510157086</v>
      </c>
      <c r="Q238">
        <f>C238/B238</f>
        <v>0.13704064784081238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AB9B3-8782-1C47-A228-527379A36270}">
  <dimension ref="A1:AA32"/>
  <sheetViews>
    <sheetView workbookViewId="0">
      <selection activeCell="D33" sqref="D33"/>
    </sheetView>
  </sheetViews>
  <sheetFormatPr baseColWidth="10" defaultRowHeight="16" x14ac:dyDescent="0.2"/>
  <sheetData>
    <row r="1" spans="1:27" x14ac:dyDescent="0.2">
      <c r="A1" t="s">
        <v>0</v>
      </c>
      <c r="O1" t="s">
        <v>0</v>
      </c>
    </row>
    <row r="2" spans="1:27" x14ac:dyDescent="0.2">
      <c r="B2" t="s">
        <v>1</v>
      </c>
      <c r="C2" t="s">
        <v>2</v>
      </c>
      <c r="D2" t="s">
        <v>3</v>
      </c>
      <c r="E2" t="s">
        <v>2</v>
      </c>
      <c r="P2" t="s">
        <v>1</v>
      </c>
      <c r="Q2" t="s">
        <v>2</v>
      </c>
      <c r="S2" t="s">
        <v>2</v>
      </c>
      <c r="V2" t="s">
        <v>3</v>
      </c>
    </row>
    <row r="3" spans="1:27" x14ac:dyDescent="0.2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s="2" t="s">
        <v>10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O3" t="s">
        <v>4</v>
      </c>
      <c r="P3" t="s">
        <v>5</v>
      </c>
      <c r="Q3" t="s">
        <v>6</v>
      </c>
      <c r="R3" t="s">
        <v>7</v>
      </c>
      <c r="S3" t="s">
        <v>8</v>
      </c>
      <c r="T3" t="s">
        <v>9</v>
      </c>
      <c r="U3" s="2" t="s">
        <v>10</v>
      </c>
      <c r="V3" t="s">
        <v>5</v>
      </c>
      <c r="W3" t="s">
        <v>6</v>
      </c>
      <c r="X3" t="s">
        <v>7</v>
      </c>
      <c r="Y3" t="s">
        <v>8</v>
      </c>
      <c r="Z3" t="s">
        <v>9</v>
      </c>
      <c r="AA3" t="s">
        <v>10</v>
      </c>
    </row>
    <row r="4" spans="1:27" x14ac:dyDescent="0.2">
      <c r="A4" t="s">
        <v>11</v>
      </c>
      <c r="B4">
        <v>0.432813</v>
      </c>
      <c r="C4">
        <v>0.101979</v>
      </c>
      <c r="D4" s="2">
        <v>2.7068999999999999E-2</v>
      </c>
      <c r="E4">
        <v>2.6505999999999998E-2</v>
      </c>
      <c r="F4">
        <v>7.2979999999999998E-3</v>
      </c>
      <c r="G4" s="2">
        <v>0.109033</v>
      </c>
      <c r="H4" s="1">
        <v>1.3107799999999999E-18</v>
      </c>
      <c r="I4" s="1">
        <v>3.2553999999999999E-19</v>
      </c>
      <c r="J4" s="1">
        <v>8.6410299999999997E-20</v>
      </c>
      <c r="K4" s="1">
        <v>8.46124E-20</v>
      </c>
      <c r="L4" s="1">
        <v>2.32968E-20</v>
      </c>
      <c r="M4" s="1">
        <v>3.4805899999999999E-19</v>
      </c>
      <c r="O4" t="s">
        <v>11</v>
      </c>
      <c r="P4">
        <v>0.41985499999999998</v>
      </c>
      <c r="Q4">
        <v>9.9636000000000002E-2</v>
      </c>
      <c r="R4" s="2">
        <v>2.9177000000000002E-2</v>
      </c>
      <c r="S4">
        <v>2.4045E-2</v>
      </c>
      <c r="T4">
        <v>7.2979999999999998E-3</v>
      </c>
      <c r="U4" s="2">
        <v>0.106818</v>
      </c>
      <c r="V4" s="1">
        <v>1.26942E-18</v>
      </c>
      <c r="W4" s="1">
        <v>3.1806E-19</v>
      </c>
      <c r="X4" s="1">
        <v>9.3140000000000006E-20</v>
      </c>
      <c r="Y4" s="1">
        <v>7.6756699999999997E-20</v>
      </c>
      <c r="Z4" s="1">
        <v>2.32968E-20</v>
      </c>
      <c r="AA4" s="1">
        <v>3.40986E-19</v>
      </c>
    </row>
    <row r="5" spans="1:27" x14ac:dyDescent="0.2">
      <c r="A5" t="s">
        <v>12</v>
      </c>
      <c r="B5">
        <v>5.4679999999999999E-2</v>
      </c>
      <c r="C5">
        <v>0.120953</v>
      </c>
      <c r="D5" s="2">
        <v>2.0358999999999999E-2</v>
      </c>
      <c r="E5">
        <v>-7.5230000000000002E-3</v>
      </c>
      <c r="F5">
        <v>7.2979999999999998E-3</v>
      </c>
      <c r="G5" s="2">
        <v>0.123101</v>
      </c>
      <c r="H5" s="1">
        <v>1.0369899999999999E-19</v>
      </c>
      <c r="I5" s="1">
        <v>3.86109E-19</v>
      </c>
      <c r="J5" s="1">
        <v>6.4991699999999996E-20</v>
      </c>
      <c r="K5" s="1">
        <v>-2.40141E-20</v>
      </c>
      <c r="L5" s="1">
        <v>2.32968E-20</v>
      </c>
      <c r="M5" s="1">
        <v>3.9296699999999998E-19</v>
      </c>
      <c r="O5" t="s">
        <v>12</v>
      </c>
      <c r="P5">
        <v>6.3406000000000004E-2</v>
      </c>
      <c r="Q5">
        <v>0.119865</v>
      </c>
      <c r="R5" s="2">
        <v>2.1961999999999999E-2</v>
      </c>
      <c r="S5">
        <v>-6.5409999999999999E-3</v>
      </c>
      <c r="T5">
        <v>7.2979999999999998E-3</v>
      </c>
      <c r="U5" s="2">
        <v>0.122254</v>
      </c>
      <c r="V5" s="1">
        <v>1.3155400000000001E-19</v>
      </c>
      <c r="W5" s="1">
        <v>3.8263699999999998E-19</v>
      </c>
      <c r="X5" s="1">
        <v>7.0107800000000002E-20</v>
      </c>
      <c r="Y5" s="1">
        <v>-2.08794E-20</v>
      </c>
      <c r="Z5" s="1">
        <v>2.32968E-20</v>
      </c>
      <c r="AA5" s="1">
        <v>3.9026300000000001E-19</v>
      </c>
    </row>
    <row r="6" spans="1:27" x14ac:dyDescent="0.2">
      <c r="A6" t="s">
        <v>13</v>
      </c>
      <c r="B6">
        <v>0.28401599999999999</v>
      </c>
      <c r="C6">
        <v>7.8673999999999994E-2</v>
      </c>
      <c r="D6" s="2">
        <v>1.4017E-2</v>
      </c>
      <c r="E6">
        <v>1.4282E-2</v>
      </c>
      <c r="F6">
        <v>7.2979999999999998E-3</v>
      </c>
      <c r="G6" s="2">
        <v>8.1505999999999995E-2</v>
      </c>
      <c r="H6" s="1">
        <v>8.35788E-19</v>
      </c>
      <c r="I6" s="1">
        <v>2.51144E-19</v>
      </c>
      <c r="J6" s="1">
        <v>4.4746199999999998E-20</v>
      </c>
      <c r="K6" s="1">
        <v>4.5591400000000002E-20</v>
      </c>
      <c r="L6" s="1">
        <v>2.32968E-20</v>
      </c>
      <c r="M6" s="1">
        <v>2.6018600000000002E-19</v>
      </c>
      <c r="O6" t="s">
        <v>13</v>
      </c>
      <c r="P6">
        <v>0.28343699999999999</v>
      </c>
      <c r="Q6">
        <v>7.7412999999999996E-2</v>
      </c>
      <c r="R6" s="2">
        <v>1.5062000000000001E-2</v>
      </c>
      <c r="S6">
        <v>1.3661E-2</v>
      </c>
      <c r="T6">
        <v>7.2979999999999998E-3</v>
      </c>
      <c r="U6" s="2">
        <v>8.0370999999999998E-2</v>
      </c>
      <c r="V6" s="1">
        <v>8.3393899999999998E-19</v>
      </c>
      <c r="W6" s="1">
        <v>2.4711899999999999E-19</v>
      </c>
      <c r="X6" s="1">
        <v>4.8080100000000002E-20</v>
      </c>
      <c r="Y6" s="1">
        <v>4.3610199999999998E-20</v>
      </c>
      <c r="Z6" s="1">
        <v>2.32968E-20</v>
      </c>
      <c r="AA6" s="1">
        <v>2.5656200000000001E-19</v>
      </c>
    </row>
    <row r="7" spans="1:27" x14ac:dyDescent="0.2">
      <c r="A7" t="s">
        <v>14</v>
      </c>
      <c r="G7" s="2"/>
      <c r="U7" s="2"/>
    </row>
    <row r="8" spans="1:27" x14ac:dyDescent="0.2">
      <c r="B8" t="s">
        <v>1</v>
      </c>
      <c r="C8" t="s">
        <v>2</v>
      </c>
      <c r="D8" t="s">
        <v>3</v>
      </c>
      <c r="E8" t="s">
        <v>2</v>
      </c>
      <c r="G8" s="2"/>
      <c r="O8" t="s">
        <v>14</v>
      </c>
      <c r="U8" s="2"/>
    </row>
    <row r="9" spans="1:27" x14ac:dyDescent="0.2">
      <c r="A9" t="s">
        <v>4</v>
      </c>
      <c r="B9" t="s">
        <v>5</v>
      </c>
      <c r="C9" t="s">
        <v>6</v>
      </c>
      <c r="D9" t="s">
        <v>7</v>
      </c>
      <c r="E9" t="s">
        <v>8</v>
      </c>
      <c r="F9" t="s">
        <v>9</v>
      </c>
      <c r="G9" s="2" t="s">
        <v>10</v>
      </c>
      <c r="H9" t="s">
        <v>5</v>
      </c>
      <c r="I9" t="s">
        <v>6</v>
      </c>
      <c r="J9" t="s">
        <v>7</v>
      </c>
      <c r="K9" t="s">
        <v>8</v>
      </c>
      <c r="L9" t="s">
        <v>9</v>
      </c>
      <c r="M9" t="s">
        <v>10</v>
      </c>
      <c r="P9" t="s">
        <v>1</v>
      </c>
      <c r="Q9" t="s">
        <v>2</v>
      </c>
      <c r="S9" t="s">
        <v>2</v>
      </c>
      <c r="U9" s="2"/>
      <c r="V9" t="s">
        <v>3</v>
      </c>
    </row>
    <row r="10" spans="1:27" x14ac:dyDescent="0.2">
      <c r="A10" t="s">
        <v>11</v>
      </c>
      <c r="B10">
        <v>0.25933</v>
      </c>
      <c r="C10">
        <v>8.7099999999999997E-2</v>
      </c>
      <c r="D10">
        <v>1.5032E-2</v>
      </c>
      <c r="E10">
        <v>1.3088000000000001E-2</v>
      </c>
      <c r="F10">
        <v>8.1720000000000004E-3</v>
      </c>
      <c r="G10" s="2">
        <v>8.9724999999999999E-2</v>
      </c>
      <c r="H10" s="1">
        <v>7.55306E-19</v>
      </c>
      <c r="I10" s="1">
        <v>2.7804399999999998E-19</v>
      </c>
      <c r="J10" s="1">
        <v>4.7985199999999999E-20</v>
      </c>
      <c r="K10" s="1">
        <v>4.1778699999999999E-20</v>
      </c>
      <c r="L10" s="1">
        <v>2.6087E-20</v>
      </c>
      <c r="M10" s="1">
        <v>2.8642099999999998E-19</v>
      </c>
      <c r="O10" t="s">
        <v>4</v>
      </c>
      <c r="P10" t="s">
        <v>5</v>
      </c>
      <c r="Q10" t="s">
        <v>6</v>
      </c>
      <c r="R10" t="s">
        <v>7</v>
      </c>
      <c r="S10" t="s">
        <v>8</v>
      </c>
      <c r="T10" t="s">
        <v>9</v>
      </c>
      <c r="U10" s="2" t="s">
        <v>10</v>
      </c>
      <c r="V10" t="s">
        <v>5</v>
      </c>
      <c r="W10" t="s">
        <v>6</v>
      </c>
      <c r="X10" t="s">
        <v>7</v>
      </c>
      <c r="Y10" t="s">
        <v>8</v>
      </c>
      <c r="Z10" t="s">
        <v>9</v>
      </c>
      <c r="AA10" t="s">
        <v>10</v>
      </c>
    </row>
    <row r="11" spans="1:27" x14ac:dyDescent="0.2">
      <c r="A11" t="s">
        <v>12</v>
      </c>
      <c r="B11">
        <v>0.25156600000000001</v>
      </c>
      <c r="C11">
        <v>0.10340000000000001</v>
      </c>
      <c r="D11">
        <v>2.2994000000000001E-2</v>
      </c>
      <c r="E11">
        <v>-7.3999999999999999E-4</v>
      </c>
      <c r="F11">
        <v>8.1720000000000004E-3</v>
      </c>
      <c r="G11" s="2">
        <v>0.106243</v>
      </c>
      <c r="H11" s="1">
        <v>7.3052300000000002E-19</v>
      </c>
      <c r="I11" s="1">
        <v>3.3007699999999999E-19</v>
      </c>
      <c r="J11" s="1">
        <v>7.3402999999999997E-20</v>
      </c>
      <c r="K11" s="1">
        <v>-2.3608700000000001E-21</v>
      </c>
      <c r="L11" s="1">
        <v>2.6087E-20</v>
      </c>
      <c r="M11" s="1">
        <v>3.3915300000000002E-19</v>
      </c>
      <c r="O11" t="s">
        <v>11</v>
      </c>
      <c r="P11">
        <v>0.25402000000000002</v>
      </c>
      <c r="Q11">
        <v>8.5106000000000001E-2</v>
      </c>
      <c r="R11">
        <v>1.5875E-2</v>
      </c>
      <c r="S11">
        <v>1.1960999999999999E-2</v>
      </c>
      <c r="T11">
        <v>8.1720000000000004E-3</v>
      </c>
      <c r="U11" s="2">
        <v>8.7776999999999994E-2</v>
      </c>
      <c r="V11" s="1">
        <v>7.3835499999999997E-19</v>
      </c>
      <c r="W11" s="1">
        <v>2.7167599999999998E-19</v>
      </c>
      <c r="X11" s="1">
        <v>5.0675299999999997E-20</v>
      </c>
      <c r="Y11" s="1">
        <v>3.8182800000000002E-20</v>
      </c>
      <c r="Z11" s="1">
        <v>2.6087E-20</v>
      </c>
      <c r="AA11" s="1">
        <v>2.8020399999999998E-19</v>
      </c>
    </row>
    <row r="12" spans="1:27" x14ac:dyDescent="0.2">
      <c r="A12" t="s">
        <v>13</v>
      </c>
      <c r="B12">
        <v>0.26313900000000001</v>
      </c>
      <c r="C12">
        <v>6.7227999999999996E-2</v>
      </c>
      <c r="D12">
        <v>1.2623000000000001E-2</v>
      </c>
      <c r="E12">
        <v>8.2019999999999992E-3</v>
      </c>
      <c r="F12">
        <v>8.1720000000000004E-3</v>
      </c>
      <c r="G12" s="2">
        <v>6.9375999999999993E-2</v>
      </c>
      <c r="H12" s="1">
        <v>7.67466E-19</v>
      </c>
      <c r="I12" s="1">
        <v>2.1460600000000001E-19</v>
      </c>
      <c r="J12" s="1">
        <v>4.0295999999999998E-20</v>
      </c>
      <c r="K12" s="1">
        <v>2.61825E-20</v>
      </c>
      <c r="L12" s="1">
        <v>2.6087E-20</v>
      </c>
      <c r="M12" s="1">
        <v>2.2146299999999999E-19</v>
      </c>
      <c r="O12" t="s">
        <v>12</v>
      </c>
      <c r="P12">
        <v>0.25253100000000001</v>
      </c>
      <c r="Q12">
        <v>0.102476</v>
      </c>
      <c r="R12">
        <v>2.3602000000000001E-2</v>
      </c>
      <c r="S12">
        <v>-7.9199999999999995E-4</v>
      </c>
      <c r="T12">
        <v>8.1720000000000004E-3</v>
      </c>
      <c r="U12" s="2">
        <v>0.105479</v>
      </c>
      <c r="V12" s="1">
        <v>7.3360299999999997E-19</v>
      </c>
      <c r="W12" s="1">
        <v>3.27126E-19</v>
      </c>
      <c r="X12" s="1">
        <v>7.5342300000000004E-20</v>
      </c>
      <c r="Y12" s="1">
        <v>-2.5292600000000001E-21</v>
      </c>
      <c r="Z12" s="1">
        <v>2.6087E-20</v>
      </c>
      <c r="AA12" s="1">
        <v>3.3671200000000002E-19</v>
      </c>
    </row>
    <row r="13" spans="1:27" x14ac:dyDescent="0.2">
      <c r="A13" t="s">
        <v>15</v>
      </c>
      <c r="G13" s="2"/>
      <c r="O13" t="s">
        <v>13</v>
      </c>
      <c r="P13">
        <v>0.26094600000000001</v>
      </c>
      <c r="Q13">
        <v>6.6155000000000005E-2</v>
      </c>
      <c r="R13">
        <v>1.3771E-2</v>
      </c>
      <c r="S13">
        <v>7.6169999999999996E-3</v>
      </c>
      <c r="T13">
        <v>8.1720000000000004E-3</v>
      </c>
      <c r="U13" s="2">
        <v>6.8489999999999995E-2</v>
      </c>
      <c r="V13" s="1">
        <v>7.6046800000000004E-19</v>
      </c>
      <c r="W13" s="1">
        <v>2.1118099999999999E-19</v>
      </c>
      <c r="X13" s="1">
        <v>4.3961199999999997E-20</v>
      </c>
      <c r="Y13" s="1">
        <v>2.43143E-20</v>
      </c>
      <c r="Z13" s="1">
        <v>2.6087E-20</v>
      </c>
      <c r="AA13" s="1">
        <v>2.1863599999999999E-19</v>
      </c>
    </row>
    <row r="14" spans="1:27" x14ac:dyDescent="0.2">
      <c r="B14" t="s">
        <v>1</v>
      </c>
      <c r="C14" t="s">
        <v>2</v>
      </c>
      <c r="D14" t="s">
        <v>3</v>
      </c>
      <c r="E14" t="s">
        <v>2</v>
      </c>
      <c r="G14" s="2"/>
      <c r="U14" s="2"/>
    </row>
    <row r="15" spans="1:27" x14ac:dyDescent="0.2">
      <c r="A15" t="s">
        <v>4</v>
      </c>
      <c r="B15" t="s">
        <v>5</v>
      </c>
      <c r="C15" t="s">
        <v>6</v>
      </c>
      <c r="D15" t="s">
        <v>7</v>
      </c>
      <c r="E15" t="s">
        <v>8</v>
      </c>
      <c r="F15" t="s">
        <v>9</v>
      </c>
      <c r="G15" s="2" t="s">
        <v>10</v>
      </c>
      <c r="H15" t="s">
        <v>5</v>
      </c>
      <c r="I15" t="s">
        <v>6</v>
      </c>
      <c r="J15" t="s">
        <v>7</v>
      </c>
      <c r="K15" t="s">
        <v>8</v>
      </c>
      <c r="L15" t="s">
        <v>9</v>
      </c>
      <c r="M15" t="s">
        <v>10</v>
      </c>
      <c r="O15" t="s">
        <v>15</v>
      </c>
      <c r="U15" s="2"/>
    </row>
    <row r="16" spans="1:27" x14ac:dyDescent="0.2">
      <c r="A16" t="s">
        <v>11</v>
      </c>
      <c r="B16">
        <v>0.52927599999999997</v>
      </c>
      <c r="C16">
        <v>7.1439000000000002E-2</v>
      </c>
      <c r="D16">
        <v>2.921E-2</v>
      </c>
      <c r="E16">
        <v>3.0443999999999999E-2</v>
      </c>
      <c r="F16">
        <v>8.2430000000000003E-3</v>
      </c>
      <c r="G16" s="2">
        <v>8.3376000000000006E-2</v>
      </c>
      <c r="H16" s="1">
        <v>1.5950700000000001E-18</v>
      </c>
      <c r="I16" s="1">
        <v>2.2805000000000001E-19</v>
      </c>
      <c r="J16" s="1">
        <v>9.3243400000000005E-20</v>
      </c>
      <c r="K16" s="1">
        <v>9.7184700000000005E-20</v>
      </c>
      <c r="L16" s="1">
        <v>2.6313399999999999E-20</v>
      </c>
      <c r="M16" s="1">
        <v>2.6615499999999999E-19</v>
      </c>
      <c r="P16" t="s">
        <v>1</v>
      </c>
      <c r="Q16" t="s">
        <v>2</v>
      </c>
      <c r="R16" t="s">
        <v>3</v>
      </c>
      <c r="S16" t="s">
        <v>2</v>
      </c>
      <c r="U16" s="2"/>
    </row>
    <row r="17" spans="1:27" x14ac:dyDescent="0.2">
      <c r="A17" t="s">
        <v>12</v>
      </c>
      <c r="B17">
        <v>0.46655999999999997</v>
      </c>
      <c r="C17">
        <v>8.5614999999999997E-2</v>
      </c>
      <c r="D17">
        <v>3.3162999999999998E-2</v>
      </c>
      <c r="E17">
        <v>1.4923000000000001E-2</v>
      </c>
      <c r="F17">
        <v>8.2430000000000003E-3</v>
      </c>
      <c r="G17" s="2">
        <v>9.3382999999999994E-2</v>
      </c>
      <c r="H17" s="1">
        <v>1.3948600000000001E-18</v>
      </c>
      <c r="I17" s="1">
        <v>2.7330200000000001E-19</v>
      </c>
      <c r="J17" s="1">
        <v>1.05863E-19</v>
      </c>
      <c r="K17" s="1">
        <v>4.7639099999999999E-20</v>
      </c>
      <c r="L17" s="1">
        <v>2.6313399999999999E-20</v>
      </c>
      <c r="M17" s="1">
        <v>2.9809899999999998E-19</v>
      </c>
      <c r="O17" t="s">
        <v>4</v>
      </c>
      <c r="P17" t="s">
        <v>5</v>
      </c>
      <c r="Q17" t="s">
        <v>6</v>
      </c>
      <c r="R17" t="s">
        <v>7</v>
      </c>
      <c r="S17" t="s">
        <v>8</v>
      </c>
      <c r="T17" t="s">
        <v>9</v>
      </c>
      <c r="U17" s="2" t="s">
        <v>10</v>
      </c>
      <c r="V17" t="s">
        <v>5</v>
      </c>
      <c r="W17" t="s">
        <v>6</v>
      </c>
      <c r="X17" t="s">
        <v>7</v>
      </c>
      <c r="Y17" t="s">
        <v>8</v>
      </c>
      <c r="Z17" t="s">
        <v>9</v>
      </c>
      <c r="AA17" t="s">
        <v>10</v>
      </c>
    </row>
    <row r="18" spans="1:27" x14ac:dyDescent="0.2">
      <c r="A18" t="s">
        <v>13</v>
      </c>
      <c r="B18">
        <v>0.51349999999999996</v>
      </c>
      <c r="C18">
        <v>5.5389000000000001E-2</v>
      </c>
      <c r="D18">
        <v>2.1506999999999998E-2</v>
      </c>
      <c r="E18">
        <v>2.5572999999999999E-2</v>
      </c>
      <c r="F18">
        <v>8.2430000000000003E-3</v>
      </c>
      <c r="G18" s="2">
        <v>6.5211000000000005E-2</v>
      </c>
      <c r="H18" s="1">
        <v>1.5447100000000001E-18</v>
      </c>
      <c r="I18" s="1">
        <v>1.76814E-19</v>
      </c>
      <c r="J18" s="1">
        <v>6.8655599999999995E-20</v>
      </c>
      <c r="K18" s="1">
        <v>8.1635200000000003E-20</v>
      </c>
      <c r="L18" s="1">
        <v>2.6313399999999999E-20</v>
      </c>
      <c r="M18" s="1">
        <v>2.0816700000000001E-19</v>
      </c>
      <c r="O18" t="s">
        <v>11</v>
      </c>
      <c r="P18">
        <v>0.51198100000000002</v>
      </c>
      <c r="Q18">
        <v>6.9817000000000004E-2</v>
      </c>
      <c r="R18">
        <v>3.2154000000000002E-2</v>
      </c>
      <c r="S18">
        <v>2.7392E-2</v>
      </c>
      <c r="T18">
        <v>8.2430000000000003E-3</v>
      </c>
      <c r="U18" s="2">
        <v>8.2015000000000005E-2</v>
      </c>
      <c r="V18" s="1">
        <v>1.5398600000000001E-18</v>
      </c>
      <c r="W18" s="1">
        <v>2.2286999999999999E-19</v>
      </c>
      <c r="X18" s="1">
        <v>1.0264199999999999E-19</v>
      </c>
      <c r="Y18" s="1">
        <v>8.7442599999999996E-20</v>
      </c>
      <c r="Z18" s="1">
        <v>2.6313399999999999E-20</v>
      </c>
      <c r="AA18" s="1">
        <v>2.61811E-19</v>
      </c>
    </row>
    <row r="19" spans="1:27" x14ac:dyDescent="0.2">
      <c r="A19" t="s">
        <v>16</v>
      </c>
      <c r="G19" s="2"/>
      <c r="O19" t="s">
        <v>12</v>
      </c>
      <c r="P19">
        <v>0.46260600000000002</v>
      </c>
      <c r="Q19">
        <v>8.4856000000000001E-2</v>
      </c>
      <c r="R19">
        <v>3.4336999999999999E-2</v>
      </c>
      <c r="S19">
        <v>1.3952000000000001E-2</v>
      </c>
      <c r="T19">
        <v>8.2430000000000003E-3</v>
      </c>
      <c r="U19" s="2">
        <v>9.2964000000000005E-2</v>
      </c>
      <c r="V19" s="1">
        <v>1.38224E-18</v>
      </c>
      <c r="W19" s="1">
        <v>2.7088100000000002E-19</v>
      </c>
      <c r="X19" s="1">
        <v>1.09611E-19</v>
      </c>
      <c r="Y19" s="1">
        <v>4.4537300000000002E-20</v>
      </c>
      <c r="Z19" s="1">
        <v>2.6313399999999999E-20</v>
      </c>
      <c r="AA19" s="1">
        <v>2.9676000000000001E-19</v>
      </c>
    </row>
    <row r="20" spans="1:27" x14ac:dyDescent="0.2">
      <c r="B20" t="s">
        <v>1</v>
      </c>
      <c r="C20" t="s">
        <v>2</v>
      </c>
      <c r="D20" t="s">
        <v>3</v>
      </c>
      <c r="E20" t="s">
        <v>2</v>
      </c>
      <c r="G20" s="2"/>
      <c r="O20" t="s">
        <v>13</v>
      </c>
      <c r="P20">
        <v>0.50278</v>
      </c>
      <c r="Q20">
        <v>5.4510999999999997E-2</v>
      </c>
      <c r="R20">
        <v>2.4098000000000001E-2</v>
      </c>
      <c r="S20">
        <v>2.351E-2</v>
      </c>
      <c r="T20">
        <v>8.2430000000000003E-3</v>
      </c>
      <c r="U20" s="2">
        <v>6.4598000000000003E-2</v>
      </c>
      <c r="V20" s="1">
        <v>1.51049E-18</v>
      </c>
      <c r="W20" s="1">
        <v>1.7401199999999999E-19</v>
      </c>
      <c r="X20" s="1">
        <v>7.6926800000000004E-20</v>
      </c>
      <c r="Y20" s="1">
        <v>7.5048999999999994E-20</v>
      </c>
      <c r="Z20" s="1">
        <v>2.6313399999999999E-20</v>
      </c>
      <c r="AA20" s="1">
        <v>2.0621100000000001E-19</v>
      </c>
    </row>
    <row r="21" spans="1:27" x14ac:dyDescent="0.2">
      <c r="A21" t="s">
        <v>4</v>
      </c>
      <c r="B21" t="s">
        <v>5</v>
      </c>
      <c r="C21" t="s">
        <v>6</v>
      </c>
      <c r="D21" t="s">
        <v>7</v>
      </c>
      <c r="E21" t="s">
        <v>8</v>
      </c>
      <c r="F21" t="s">
        <v>9</v>
      </c>
      <c r="G21" s="2" t="s">
        <v>10</v>
      </c>
      <c r="H21" t="s">
        <v>5</v>
      </c>
      <c r="I21" t="s">
        <v>6</v>
      </c>
      <c r="J21" t="s">
        <v>7</v>
      </c>
      <c r="K21" t="s">
        <v>8</v>
      </c>
      <c r="L21" t="s">
        <v>9</v>
      </c>
      <c r="M21" t="s">
        <v>10</v>
      </c>
      <c r="U21" s="2"/>
    </row>
    <row r="22" spans="1:27" x14ac:dyDescent="0.2">
      <c r="A22" t="s">
        <v>11</v>
      </c>
      <c r="B22">
        <v>0.367234</v>
      </c>
      <c r="C22">
        <v>6.2686000000000006E-2</v>
      </c>
      <c r="D22">
        <v>2.0625999999999999E-2</v>
      </c>
      <c r="E22">
        <v>2.0088000000000002E-2</v>
      </c>
      <c r="F22">
        <v>9.1450000000000004E-3</v>
      </c>
      <c r="G22" s="2">
        <v>6.9584999999999994E-2</v>
      </c>
      <c r="H22" s="1">
        <v>1.06286E-18</v>
      </c>
      <c r="I22" s="1">
        <v>2.00107E-19</v>
      </c>
      <c r="J22" s="1">
        <v>6.5843099999999998E-20</v>
      </c>
      <c r="K22" s="1">
        <v>6.4124600000000006E-20</v>
      </c>
      <c r="L22" s="1">
        <v>2.91939E-20</v>
      </c>
      <c r="M22" s="1">
        <v>2.2213099999999999E-19</v>
      </c>
      <c r="O22" t="s">
        <v>16</v>
      </c>
      <c r="U22" s="2"/>
    </row>
    <row r="23" spans="1:27" x14ac:dyDescent="0.2">
      <c r="A23" t="s">
        <v>12</v>
      </c>
      <c r="B23">
        <v>0.33330100000000001</v>
      </c>
      <c r="C23">
        <v>7.5175000000000006E-2</v>
      </c>
      <c r="D23">
        <v>2.6218000000000002E-2</v>
      </c>
      <c r="E23">
        <v>2.2133E-2</v>
      </c>
      <c r="F23">
        <v>9.1450000000000004E-3</v>
      </c>
      <c r="G23" s="2">
        <v>8.3140000000000006E-2</v>
      </c>
      <c r="H23" s="1">
        <v>9.5454199999999992E-19</v>
      </c>
      <c r="I23" s="1">
        <v>2.39975E-19</v>
      </c>
      <c r="J23" s="1">
        <v>8.3694799999999999E-20</v>
      </c>
      <c r="K23" s="1">
        <v>7.0653900000000003E-20</v>
      </c>
      <c r="L23" s="1">
        <v>2.91939E-20</v>
      </c>
      <c r="M23" s="1">
        <v>2.654E-19</v>
      </c>
      <c r="P23" t="s">
        <v>1</v>
      </c>
      <c r="Q23" t="s">
        <v>2</v>
      </c>
      <c r="R23" t="s">
        <v>3</v>
      </c>
      <c r="S23" t="s">
        <v>2</v>
      </c>
      <c r="U23" s="2"/>
    </row>
    <row r="24" spans="1:27" x14ac:dyDescent="0.2">
      <c r="A24" t="s">
        <v>13</v>
      </c>
      <c r="B24">
        <v>0.35458800000000001</v>
      </c>
      <c r="C24">
        <v>4.8612000000000002E-2</v>
      </c>
      <c r="D24">
        <v>1.5027E-2</v>
      </c>
      <c r="E24">
        <v>2.1461999999999998E-2</v>
      </c>
      <c r="F24">
        <v>9.1450000000000004E-3</v>
      </c>
      <c r="G24" s="2">
        <v>5.5974999999999997E-2</v>
      </c>
      <c r="H24" s="1">
        <v>1.02249E-18</v>
      </c>
      <c r="I24" s="1">
        <v>1.55179E-19</v>
      </c>
      <c r="J24" s="1">
        <v>4.7968899999999998E-20</v>
      </c>
      <c r="K24" s="1">
        <v>6.8512000000000003E-20</v>
      </c>
      <c r="L24" s="1">
        <v>2.91939E-20</v>
      </c>
      <c r="M24" s="1">
        <v>1.78684E-19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s="2" t="s">
        <v>10</v>
      </c>
      <c r="V24" t="s">
        <v>5</v>
      </c>
      <c r="W24" t="s">
        <v>6</v>
      </c>
      <c r="X24" t="s">
        <v>7</v>
      </c>
      <c r="Y24" t="s">
        <v>8</v>
      </c>
      <c r="Z24" t="s">
        <v>9</v>
      </c>
      <c r="AA24" t="s">
        <v>10</v>
      </c>
    </row>
    <row r="25" spans="1:27" x14ac:dyDescent="0.2">
      <c r="O25" t="s">
        <v>11</v>
      </c>
      <c r="P25">
        <v>0.35704900000000001</v>
      </c>
      <c r="Q25">
        <v>6.1284999999999999E-2</v>
      </c>
      <c r="R25">
        <v>2.2304999999999998E-2</v>
      </c>
      <c r="S25">
        <v>1.8165000000000001E-2</v>
      </c>
      <c r="T25">
        <v>9.1450000000000004E-3</v>
      </c>
      <c r="U25" s="2">
        <v>6.8315000000000001E-2</v>
      </c>
      <c r="V25" s="1">
        <v>1.0303500000000001E-18</v>
      </c>
      <c r="W25" s="1">
        <v>1.9563599999999999E-19</v>
      </c>
      <c r="X25" s="1">
        <v>7.1201400000000002E-20</v>
      </c>
      <c r="Y25" s="1">
        <v>5.7986500000000006E-20</v>
      </c>
      <c r="Z25" s="1">
        <v>2.91939E-20</v>
      </c>
      <c r="AA25" s="1">
        <v>2.1807699999999998E-19</v>
      </c>
    </row>
    <row r="26" spans="1:27" x14ac:dyDescent="0.2">
      <c r="O26" t="s">
        <v>12</v>
      </c>
      <c r="P26">
        <v>0.335532</v>
      </c>
      <c r="Q26">
        <v>7.4518000000000001E-2</v>
      </c>
      <c r="R26">
        <v>2.7038E-2</v>
      </c>
      <c r="S26">
        <v>2.1829999999999999E-2</v>
      </c>
      <c r="T26">
        <v>9.1450000000000004E-3</v>
      </c>
      <c r="U26" s="2">
        <v>8.2728999999999997E-2</v>
      </c>
      <c r="V26" s="1">
        <v>9.61665E-19</v>
      </c>
      <c r="W26" s="1">
        <v>2.3787700000000001E-19</v>
      </c>
      <c r="X26" s="1">
        <v>8.6311299999999999E-20</v>
      </c>
      <c r="Y26" s="1">
        <v>6.96854E-20</v>
      </c>
      <c r="Z26" s="1">
        <v>2.91939E-20</v>
      </c>
      <c r="AA26" s="1">
        <v>2.6409000000000002E-19</v>
      </c>
    </row>
    <row r="27" spans="1:27" x14ac:dyDescent="0.2">
      <c r="O27" t="s">
        <v>13</v>
      </c>
      <c r="P27">
        <v>0.35107300000000002</v>
      </c>
      <c r="Q27">
        <v>4.7853E-2</v>
      </c>
      <c r="R27">
        <v>1.6421999999999999E-2</v>
      </c>
      <c r="S27">
        <v>2.0326E-2</v>
      </c>
      <c r="T27">
        <v>9.1450000000000004E-3</v>
      </c>
      <c r="U27" s="2">
        <v>5.5285000000000001E-2</v>
      </c>
      <c r="V27" s="1">
        <v>1.0112799999999999E-18</v>
      </c>
      <c r="W27" s="1">
        <v>1.5275800000000001E-19</v>
      </c>
      <c r="X27" s="1">
        <v>5.2423700000000001E-20</v>
      </c>
      <c r="Y27" s="1">
        <v>6.4886299999999998E-20</v>
      </c>
      <c r="Z27" s="1">
        <v>2.91939E-20</v>
      </c>
      <c r="AA27" s="1">
        <v>1.7648200000000001E-19</v>
      </c>
    </row>
    <row r="29" spans="1:27" x14ac:dyDescent="0.2">
      <c r="C29">
        <f>D24-R27</f>
        <v>-1.3949999999999987E-3</v>
      </c>
    </row>
    <row r="30" spans="1:27" x14ac:dyDescent="0.2">
      <c r="C30">
        <f>D18-R20</f>
        <v>-2.591000000000003E-3</v>
      </c>
    </row>
    <row r="31" spans="1:27" x14ac:dyDescent="0.2">
      <c r="C31">
        <f>D12-R13</f>
        <v>-1.1479999999999997E-3</v>
      </c>
    </row>
    <row r="32" spans="1:27" x14ac:dyDescent="0.2">
      <c r="C32">
        <f>D6-R6</f>
        <v>-1.0450000000000008E-3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199F9-9CC5-574F-8FC3-3745086188F3}">
  <dimension ref="A1:P24"/>
  <sheetViews>
    <sheetView workbookViewId="0">
      <selection activeCell="P25" sqref="P25"/>
    </sheetView>
  </sheetViews>
  <sheetFormatPr baseColWidth="10" defaultRowHeight="16" x14ac:dyDescent="0.2"/>
  <sheetData>
    <row r="1" spans="1:13" x14ac:dyDescent="0.2">
      <c r="A1" t="s">
        <v>0</v>
      </c>
    </row>
    <row r="2" spans="1:13" x14ac:dyDescent="0.2">
      <c r="B2" t="s">
        <v>1</v>
      </c>
      <c r="C2" t="s">
        <v>2</v>
      </c>
      <c r="D2" t="s">
        <v>3</v>
      </c>
      <c r="E2" t="s">
        <v>2</v>
      </c>
    </row>
    <row r="3" spans="1:13" x14ac:dyDescent="0.2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</row>
    <row r="4" spans="1:13" x14ac:dyDescent="0.2">
      <c r="A4" t="s">
        <v>11</v>
      </c>
      <c r="B4">
        <v>0.13955100000000001</v>
      </c>
      <c r="C4">
        <v>0.101979</v>
      </c>
      <c r="D4">
        <v>1.5141E-2</v>
      </c>
      <c r="E4">
        <v>1.0767000000000001E-2</v>
      </c>
      <c r="F4">
        <v>7.2979999999999998E-3</v>
      </c>
      <c r="G4">
        <v>0.10391400000000001</v>
      </c>
      <c r="H4" s="1">
        <v>3.7462499999999999E-19</v>
      </c>
      <c r="I4" s="1">
        <v>3.25539E-19</v>
      </c>
      <c r="J4" s="1">
        <v>4.83332E-20</v>
      </c>
      <c r="K4" s="1">
        <v>3.4371300000000001E-20</v>
      </c>
      <c r="L4" s="1">
        <v>2.32968E-20</v>
      </c>
      <c r="M4" s="1">
        <v>3.3171600000000002E-19</v>
      </c>
    </row>
    <row r="5" spans="1:13" x14ac:dyDescent="0.2">
      <c r="A5" t="s">
        <v>12</v>
      </c>
      <c r="B5">
        <v>-0.235097</v>
      </c>
      <c r="C5">
        <v>0.120952</v>
      </c>
      <c r="D5">
        <v>2.3820999999999998E-2</v>
      </c>
      <c r="E5">
        <v>-0.44539200000000001</v>
      </c>
      <c r="F5">
        <v>7.2979999999999998E-3</v>
      </c>
      <c r="G5">
        <v>0.46219500000000002</v>
      </c>
      <c r="H5" s="1">
        <v>-8.2133599999999996E-19</v>
      </c>
      <c r="I5" s="1">
        <v>3.8610700000000001E-19</v>
      </c>
      <c r="J5" s="1">
        <v>7.6040900000000005E-20</v>
      </c>
      <c r="K5" s="1">
        <v>-1.4217900000000001E-18</v>
      </c>
      <c r="L5" s="1">
        <v>2.32968E-20</v>
      </c>
      <c r="M5" s="1">
        <v>1.4754300000000001E-18</v>
      </c>
    </row>
    <row r="6" spans="1:13" x14ac:dyDescent="0.2">
      <c r="A6" t="s">
        <v>13</v>
      </c>
      <c r="B6">
        <v>-7.4520000000000003E-3</v>
      </c>
      <c r="C6">
        <v>7.8673000000000007E-2</v>
      </c>
      <c r="D6">
        <v>6.692E-3</v>
      </c>
      <c r="E6">
        <v>-1.2578000000000001E-2</v>
      </c>
      <c r="F6">
        <v>7.2979999999999998E-3</v>
      </c>
      <c r="G6">
        <v>8.0284999999999995E-2</v>
      </c>
      <c r="H6" s="1">
        <v>-9.4643199999999996E-20</v>
      </c>
      <c r="I6" s="1">
        <v>2.5114300000000001E-19</v>
      </c>
      <c r="J6" s="1">
        <v>2.1362799999999999E-20</v>
      </c>
      <c r="K6" s="1">
        <v>-4.01521E-20</v>
      </c>
      <c r="L6" s="1">
        <v>2.32968E-20</v>
      </c>
      <c r="M6" s="1">
        <v>2.5628900000000001E-19</v>
      </c>
    </row>
    <row r="7" spans="1:13" x14ac:dyDescent="0.2">
      <c r="A7" t="s">
        <v>14</v>
      </c>
    </row>
    <row r="8" spans="1:13" x14ac:dyDescent="0.2">
      <c r="B8" t="s">
        <v>1</v>
      </c>
      <c r="C8" t="s">
        <v>2</v>
      </c>
      <c r="D8" t="s">
        <v>3</v>
      </c>
      <c r="E8" t="s">
        <v>2</v>
      </c>
    </row>
    <row r="9" spans="1:13" x14ac:dyDescent="0.2">
      <c r="A9" t="s">
        <v>4</v>
      </c>
      <c r="B9" t="s">
        <v>5</v>
      </c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5</v>
      </c>
      <c r="I9" t="s">
        <v>6</v>
      </c>
      <c r="J9" t="s">
        <v>7</v>
      </c>
      <c r="K9" t="s">
        <v>8</v>
      </c>
      <c r="L9" t="s">
        <v>9</v>
      </c>
      <c r="M9" t="s">
        <v>10</v>
      </c>
    </row>
    <row r="10" spans="1:13" x14ac:dyDescent="0.2">
      <c r="A10" t="s">
        <v>11</v>
      </c>
      <c r="B10">
        <v>-3.4008999999999998E-2</v>
      </c>
      <c r="C10">
        <v>8.7099999999999997E-2</v>
      </c>
      <c r="D10">
        <v>5.5690000000000002E-3</v>
      </c>
      <c r="E10">
        <v>-6.5333000000000002E-2</v>
      </c>
      <c r="F10">
        <v>8.1720000000000004E-3</v>
      </c>
      <c r="G10">
        <v>0.10932799999999999</v>
      </c>
      <c r="H10" s="1">
        <v>-1.81095E-19</v>
      </c>
      <c r="I10" s="1">
        <v>2.7804199999999999E-19</v>
      </c>
      <c r="J10" s="1">
        <v>1.7778800000000001E-20</v>
      </c>
      <c r="K10" s="1">
        <v>-2.08559E-19</v>
      </c>
      <c r="L10" s="1">
        <v>2.6087E-20</v>
      </c>
      <c r="M10" s="1">
        <v>3.4899899999999999E-19</v>
      </c>
    </row>
    <row r="11" spans="1:13" x14ac:dyDescent="0.2">
      <c r="A11" t="s">
        <v>12</v>
      </c>
      <c r="B11">
        <v>-3.7482000000000001E-2</v>
      </c>
      <c r="C11">
        <v>0.10340000000000001</v>
      </c>
      <c r="D11">
        <v>1.6175999999999999E-2</v>
      </c>
      <c r="E11">
        <v>-5.6951000000000002E-2</v>
      </c>
      <c r="F11">
        <v>8.1720000000000004E-3</v>
      </c>
      <c r="G11">
        <v>0.11942899999999999</v>
      </c>
      <c r="H11" s="1">
        <v>-1.9218299999999999E-19</v>
      </c>
      <c r="I11" s="1">
        <v>3.30075E-19</v>
      </c>
      <c r="J11" s="1">
        <v>5.1638600000000002E-20</v>
      </c>
      <c r="K11" s="1">
        <v>-1.8179999999999999E-19</v>
      </c>
      <c r="L11" s="1">
        <v>2.6087E-20</v>
      </c>
      <c r="M11" s="1">
        <v>3.8124499999999998E-19</v>
      </c>
    </row>
    <row r="12" spans="1:13" x14ac:dyDescent="0.2">
      <c r="A12" t="s">
        <v>13</v>
      </c>
      <c r="B12">
        <v>-2.8067000000000002E-2</v>
      </c>
      <c r="C12">
        <v>6.7227999999999996E-2</v>
      </c>
      <c r="D12">
        <v>5.9509999999999997E-3</v>
      </c>
      <c r="E12">
        <v>-4.7708E-2</v>
      </c>
      <c r="F12">
        <v>8.1720000000000004E-3</v>
      </c>
      <c r="G12">
        <v>8.3053000000000002E-2</v>
      </c>
      <c r="H12" s="1">
        <v>-1.62127E-19</v>
      </c>
      <c r="I12" s="1">
        <v>2.1460499999999999E-19</v>
      </c>
      <c r="J12" s="1">
        <v>1.8997899999999999E-20</v>
      </c>
      <c r="K12" s="1">
        <v>-1.5229500000000001E-19</v>
      </c>
      <c r="L12" s="1">
        <v>2.6087E-20</v>
      </c>
      <c r="M12" t="s">
        <v>25</v>
      </c>
    </row>
    <row r="13" spans="1:13" x14ac:dyDescent="0.2">
      <c r="A13" t="s">
        <v>15</v>
      </c>
    </row>
    <row r="14" spans="1:13" x14ac:dyDescent="0.2">
      <c r="B14" t="s">
        <v>1</v>
      </c>
      <c r="C14" t="s">
        <v>2</v>
      </c>
      <c r="D14" t="s">
        <v>3</v>
      </c>
      <c r="E14" t="s">
        <v>2</v>
      </c>
    </row>
    <row r="15" spans="1:13" x14ac:dyDescent="0.2">
      <c r="A15" t="s">
        <v>4</v>
      </c>
      <c r="B15" t="s">
        <v>5</v>
      </c>
      <c r="C15" t="s">
        <v>6</v>
      </c>
      <c r="D15" t="s">
        <v>7</v>
      </c>
      <c r="E15" t="s">
        <v>8</v>
      </c>
      <c r="F15" t="s">
        <v>9</v>
      </c>
      <c r="G15" t="s">
        <v>10</v>
      </c>
      <c r="H15" t="s">
        <v>5</v>
      </c>
      <c r="I15" t="s">
        <v>6</v>
      </c>
      <c r="J15" t="s">
        <v>7</v>
      </c>
      <c r="K15" t="s">
        <v>8</v>
      </c>
      <c r="L15" t="s">
        <v>9</v>
      </c>
      <c r="M15" t="s">
        <v>10</v>
      </c>
    </row>
    <row r="16" spans="1:13" x14ac:dyDescent="0.2">
      <c r="A16" t="s">
        <v>11</v>
      </c>
      <c r="B16">
        <v>0.23586799999999999</v>
      </c>
      <c r="C16">
        <v>7.1439000000000002E-2</v>
      </c>
      <c r="D16">
        <v>1.4426E-2</v>
      </c>
      <c r="E16">
        <v>1.4638E-2</v>
      </c>
      <c r="F16">
        <v>8.2430000000000003E-3</v>
      </c>
      <c r="G16">
        <v>7.4791999999999997E-2</v>
      </c>
      <c r="H16" s="1">
        <v>6.5844399999999999E-19</v>
      </c>
      <c r="I16" s="1">
        <v>2.2804900000000002E-19</v>
      </c>
      <c r="J16" s="1">
        <v>4.6050399999999999E-20</v>
      </c>
      <c r="K16" s="1">
        <v>4.6726599999999998E-20</v>
      </c>
      <c r="L16" s="1">
        <v>2.6313399999999999E-20</v>
      </c>
      <c r="M16" s="1">
        <v>2.3875200000000002E-19</v>
      </c>
    </row>
    <row r="17" spans="1:16" x14ac:dyDescent="0.2">
      <c r="A17" t="s">
        <v>12</v>
      </c>
      <c r="B17">
        <v>0.176977</v>
      </c>
      <c r="C17">
        <v>8.5614999999999997E-2</v>
      </c>
      <c r="D17">
        <v>1.9543000000000001E-2</v>
      </c>
      <c r="E17">
        <v>-2.4390000000000002E-3</v>
      </c>
      <c r="F17">
        <v>8.2430000000000003E-3</v>
      </c>
      <c r="G17">
        <v>8.8236999999999996E-2</v>
      </c>
      <c r="H17" s="1">
        <v>4.7044999999999997E-19</v>
      </c>
      <c r="I17" s="1">
        <v>2.7330200000000001E-19</v>
      </c>
      <c r="J17" s="1">
        <v>6.2387000000000004E-20</v>
      </c>
      <c r="K17" s="1">
        <v>-7.7847099999999997E-21</v>
      </c>
      <c r="L17" s="1">
        <v>2.6313399999999999E-20</v>
      </c>
      <c r="M17" s="1">
        <v>2.8167200000000001E-19</v>
      </c>
    </row>
    <row r="18" spans="1:16" x14ac:dyDescent="0.2">
      <c r="A18" t="s">
        <v>13</v>
      </c>
      <c r="B18">
        <v>0.221994</v>
      </c>
      <c r="C18">
        <v>5.5389000000000001E-2</v>
      </c>
      <c r="D18">
        <v>9.8849999999999997E-3</v>
      </c>
      <c r="E18">
        <v>8.8859999999999998E-3</v>
      </c>
      <c r="F18">
        <v>8.2430000000000003E-3</v>
      </c>
      <c r="G18">
        <v>5.7554000000000001E-2</v>
      </c>
      <c r="H18" s="1">
        <v>6.1415399999999999E-19</v>
      </c>
      <c r="I18" s="1">
        <v>1.76813E-19</v>
      </c>
      <c r="J18" s="1">
        <v>3.1553800000000001E-20</v>
      </c>
      <c r="K18" s="1">
        <v>2.8366599999999998E-20</v>
      </c>
      <c r="L18" s="1">
        <v>2.6313399999999999E-20</v>
      </c>
      <c r="M18" s="1">
        <v>1.83727E-19</v>
      </c>
    </row>
    <row r="19" spans="1:16" x14ac:dyDescent="0.2">
      <c r="A19" t="s">
        <v>16</v>
      </c>
    </row>
    <row r="20" spans="1:16" x14ac:dyDescent="0.2">
      <c r="B20" t="s">
        <v>1</v>
      </c>
      <c r="C20" t="s">
        <v>2</v>
      </c>
      <c r="D20" t="s">
        <v>3</v>
      </c>
      <c r="E20" t="s">
        <v>2</v>
      </c>
    </row>
    <row r="21" spans="1:16" x14ac:dyDescent="0.2">
      <c r="A21" t="s">
        <v>4</v>
      </c>
      <c r="B21" t="s">
        <v>5</v>
      </c>
      <c r="C21" t="s">
        <v>6</v>
      </c>
      <c r="D21" t="s">
        <v>7</v>
      </c>
      <c r="E21" t="s">
        <v>8</v>
      </c>
      <c r="F21" t="s">
        <v>9</v>
      </c>
      <c r="G21" t="s">
        <v>10</v>
      </c>
      <c r="H21" t="s">
        <v>5</v>
      </c>
      <c r="I21" t="s">
        <v>6</v>
      </c>
      <c r="J21" t="s">
        <v>7</v>
      </c>
      <c r="K21" t="s">
        <v>8</v>
      </c>
      <c r="L21" t="s">
        <v>9</v>
      </c>
      <c r="M21" t="s">
        <v>10</v>
      </c>
    </row>
    <row r="22" spans="1:16" x14ac:dyDescent="0.2">
      <c r="A22" t="s">
        <v>11</v>
      </c>
      <c r="B22">
        <v>7.3809E-2</v>
      </c>
      <c r="C22">
        <v>6.2685000000000005E-2</v>
      </c>
      <c r="D22">
        <v>6.6020000000000002E-3</v>
      </c>
      <c r="E22">
        <v>4.1640000000000002E-3</v>
      </c>
      <c r="F22">
        <v>9.1450000000000004E-3</v>
      </c>
      <c r="G22">
        <v>6.3827999999999996E-2</v>
      </c>
      <c r="H22" s="1">
        <v>1.2618800000000001E-19</v>
      </c>
      <c r="I22" s="1">
        <v>2.0010600000000001E-19</v>
      </c>
      <c r="J22" s="1">
        <v>2.10762E-20</v>
      </c>
      <c r="K22" s="1">
        <v>1.32921E-20</v>
      </c>
      <c r="L22" s="1">
        <v>2.91939E-20</v>
      </c>
      <c r="M22" s="1">
        <v>2.03754E-19</v>
      </c>
    </row>
    <row r="23" spans="1:16" x14ac:dyDescent="0.2">
      <c r="A23" t="s">
        <v>12</v>
      </c>
      <c r="B23">
        <v>4.3790999999999997E-2</v>
      </c>
      <c r="C23">
        <v>7.5175000000000006E-2</v>
      </c>
      <c r="D23">
        <v>1.6694000000000001E-2</v>
      </c>
      <c r="E23">
        <v>4.731E-3</v>
      </c>
      <c r="F23">
        <v>9.1450000000000004E-3</v>
      </c>
      <c r="G23">
        <v>7.7690999999999996E-2</v>
      </c>
      <c r="H23" s="1">
        <v>3.0361399999999999E-20</v>
      </c>
      <c r="I23" s="1">
        <v>2.39974E-19</v>
      </c>
      <c r="J23" s="1">
        <v>5.3291799999999997E-20</v>
      </c>
      <c r="K23" s="1">
        <v>1.5101300000000001E-20</v>
      </c>
      <c r="L23" s="1">
        <v>2.91939E-20</v>
      </c>
      <c r="M23" s="1">
        <v>2.4800799999999999E-19</v>
      </c>
    </row>
    <row r="24" spans="1:16" x14ac:dyDescent="0.2">
      <c r="A24" t="s">
        <v>13</v>
      </c>
      <c r="B24">
        <v>6.3104999999999994E-2</v>
      </c>
      <c r="C24">
        <v>4.8611000000000001E-2</v>
      </c>
      <c r="D24">
        <v>4.1669999999999997E-3</v>
      </c>
      <c r="E24">
        <v>4.6950000000000004E-3</v>
      </c>
      <c r="F24">
        <v>9.1450000000000004E-3</v>
      </c>
      <c r="G24">
        <v>4.9861000000000003E-2</v>
      </c>
      <c r="H24" s="1">
        <v>9.2018200000000005E-20</v>
      </c>
      <c r="I24" s="1">
        <v>1.55179E-19</v>
      </c>
      <c r="J24" s="1">
        <v>1.33017E-20</v>
      </c>
      <c r="K24" s="1">
        <v>1.4987599999999999E-20</v>
      </c>
      <c r="L24" s="1">
        <v>2.91939E-20</v>
      </c>
      <c r="M24" s="1">
        <v>1.5916699999999999E-19</v>
      </c>
      <c r="O24" s="1">
        <f>AVERAGE(H24,H12,H18,H6)</f>
        <v>1.1235049999999999E-19</v>
      </c>
      <c r="P24" s="1">
        <f>AVERAGE(M24,M18,M12,M6)</f>
        <v>1.9972766666666666E-19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UpdatedAcceptance2</vt:lpstr>
      <vt:lpstr>UpdatedAcceptance1</vt:lpstr>
      <vt:lpstr>ThesisFitResults</vt:lpstr>
      <vt:lpstr>ChangingStats</vt:lpstr>
      <vt:lpstr>UpdatedAcceptance</vt:lpstr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2022-08-23T10:28:11Z</cp:lastPrinted>
  <dcterms:created xsi:type="dcterms:W3CDTF">2022-06-13T09:48:15Z</dcterms:created>
  <dcterms:modified xsi:type="dcterms:W3CDTF">2022-08-24T11:08:57Z</dcterms:modified>
</cp:coreProperties>
</file>