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105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muelgrant/Documents/gm2/EDM/Sheets/"/>
    </mc:Choice>
  </mc:AlternateContent>
  <xr:revisionPtr revIDLastSave="0" documentId="13_ncr:40009_{DF8FFEEE-042C-DA42-9F00-F554BA2EE066}" xr6:coauthVersionLast="47" xr6:coauthVersionMax="47" xr10:uidLastSave="{00000000-0000-0000-0000-000000000000}"/>
  <bookViews>
    <workbookView xWindow="780" yWindow="1000" windowWidth="27640" windowHeight="16440"/>
  </bookViews>
  <sheets>
    <sheet name="ThesisFit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4" i="1" l="1"/>
</calcChain>
</file>

<file path=xl/sharedStrings.xml><?xml version="1.0" encoding="utf-8"?>
<sst xmlns="http://schemas.openxmlformats.org/spreadsheetml/2006/main" count="108" uniqueCount="25">
  <si>
    <t>Run-1a</t>
  </si>
  <si>
    <t xml:space="preserve"> delta_prime</t>
  </si>
  <si>
    <t xml:space="preserve"> </t>
  </si>
  <si>
    <t xml:space="preserve"> dMu [ecm]</t>
  </si>
  <si>
    <t>Station</t>
  </si>
  <si>
    <t xml:space="preserve"> value</t>
  </si>
  <si>
    <t xml:space="preserve"> fit_error</t>
  </si>
  <si>
    <t xml:space="preserve"> acc_error</t>
  </si>
  <si>
    <t xml:space="preserve"> align_error</t>
  </si>
  <si>
    <t xml:space="preserve"> Br_error</t>
  </si>
  <si>
    <t xml:space="preserve"> tot_error</t>
  </si>
  <si>
    <t>S12</t>
  </si>
  <si>
    <t>S18</t>
  </si>
  <si>
    <t>S12S18</t>
  </si>
  <si>
    <t>Run-1b</t>
  </si>
  <si>
    <t>Run-1c</t>
  </si>
  <si>
    <t>Run-1d</t>
  </si>
  <si>
    <t>Value</t>
  </si>
  <si>
    <t>fit_error</t>
  </si>
  <si>
    <t>acc_error</t>
  </si>
  <si>
    <t>align_error</t>
  </si>
  <si>
    <t>Br_error</t>
  </si>
  <si>
    <t>tot_error</t>
  </si>
  <si>
    <t xml:space="preserve">delta </t>
  </si>
  <si>
    <t>dMu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</si>
</sst>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7"/>
  <sheetViews>
    <sheetView tabSelected="1" zoomScale="98" workbookViewId="0">
      <selection activeCell="N5" sqref="N5"/>
    </sheetView>
  </sheetViews>
  <sheetFormatPr baseColWidth="10" defaultRowHeight="16" x14ac:dyDescent="0.2"/>
  <cols>
    <col min="14" max="14" width="12.33203125" bestFit="1" customWidth="1"/>
  </cols>
  <sheetData>
    <row r="1" spans="1:23" x14ac:dyDescent="0.2">
      <c r="A1" t="s">
        <v>0</v>
      </c>
    </row>
    <row r="2" spans="1:23" x14ac:dyDescent="0.2">
      <c r="B2" t="s">
        <v>1</v>
      </c>
      <c r="C2" t="s">
        <v>2</v>
      </c>
      <c r="E2" t="s">
        <v>2</v>
      </c>
      <c r="H2" t="s">
        <v>3</v>
      </c>
      <c r="P2" s="2" t="s">
        <v>0</v>
      </c>
      <c r="Q2" s="2"/>
      <c r="R2" s="2" t="s">
        <v>0</v>
      </c>
      <c r="S2" s="2"/>
      <c r="T2" s="2" t="s">
        <v>0</v>
      </c>
      <c r="U2" s="2"/>
      <c r="V2" s="2" t="s">
        <v>0</v>
      </c>
      <c r="W2" s="2"/>
    </row>
    <row r="3" spans="1:23" x14ac:dyDescent="0.2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5</v>
      </c>
      <c r="I3" t="s">
        <v>6</v>
      </c>
      <c r="J3" t="s">
        <v>7</v>
      </c>
      <c r="K3" t="s">
        <v>8</v>
      </c>
      <c r="L3" t="s">
        <v>9</v>
      </c>
      <c r="M3" t="s">
        <v>10</v>
      </c>
      <c r="P3" t="s">
        <v>23</v>
      </c>
      <c r="Q3" t="s">
        <v>24</v>
      </c>
      <c r="R3" t="s">
        <v>23</v>
      </c>
      <c r="S3" t="s">
        <v>24</v>
      </c>
      <c r="T3" t="s">
        <v>23</v>
      </c>
      <c r="U3" t="s">
        <v>24</v>
      </c>
      <c r="V3" t="s">
        <v>23</v>
      </c>
      <c r="W3" t="s">
        <v>24</v>
      </c>
    </row>
    <row r="4" spans="1:23" x14ac:dyDescent="0.2">
      <c r="A4" t="s">
        <v>11</v>
      </c>
      <c r="B4">
        <v>0.41985499999999998</v>
      </c>
      <c r="C4">
        <v>9.9636000000000002E-2</v>
      </c>
      <c r="D4">
        <v>2.9177000000000002E-2</v>
      </c>
      <c r="E4">
        <v>2.4045E-2</v>
      </c>
      <c r="F4">
        <v>7.2979999999999998E-3</v>
      </c>
      <c r="G4">
        <v>0.106818</v>
      </c>
      <c r="H4" s="1">
        <v>1.26942E-18</v>
      </c>
      <c r="I4" s="1">
        <v>3.1806E-19</v>
      </c>
      <c r="J4" s="1">
        <v>9.3140000000000006E-20</v>
      </c>
      <c r="K4" s="1">
        <v>7.6756699999999997E-20</v>
      </c>
      <c r="L4" s="1">
        <v>2.32968E-20</v>
      </c>
      <c r="M4" s="1">
        <v>3.40986E-19</v>
      </c>
      <c r="N4">
        <f>SQRT(I4^2+J4^2+K4^2+L4^2)</f>
        <v>3.4098615086998767E-19</v>
      </c>
      <c r="O4" t="s">
        <v>17</v>
      </c>
    </row>
    <row r="5" spans="1:23" x14ac:dyDescent="0.2">
      <c r="A5" t="s">
        <v>12</v>
      </c>
      <c r="B5">
        <v>6.3406000000000004E-2</v>
      </c>
      <c r="C5">
        <v>0.119865</v>
      </c>
      <c r="D5">
        <v>2.1961999999999999E-2</v>
      </c>
      <c r="E5">
        <v>-6.5409999999999999E-3</v>
      </c>
      <c r="F5">
        <v>7.2979999999999998E-3</v>
      </c>
      <c r="G5">
        <v>0.122254</v>
      </c>
      <c r="H5" s="1">
        <v>1.3155400000000001E-19</v>
      </c>
      <c r="I5" s="1">
        <v>3.8263699999999998E-19</v>
      </c>
      <c r="J5" s="1">
        <v>7.0107800000000002E-20</v>
      </c>
      <c r="K5" s="1">
        <v>-2.08794E-20</v>
      </c>
      <c r="L5" s="1">
        <v>2.32968E-20</v>
      </c>
      <c r="M5" s="1">
        <v>3.9026300000000001E-19</v>
      </c>
      <c r="O5" t="s">
        <v>18</v>
      </c>
    </row>
    <row r="6" spans="1:23" x14ac:dyDescent="0.2">
      <c r="A6" t="s">
        <v>13</v>
      </c>
      <c r="B6">
        <v>0.28343699999999999</v>
      </c>
      <c r="C6">
        <v>7.7412999999999996E-2</v>
      </c>
      <c r="D6">
        <v>1.5062000000000001E-2</v>
      </c>
      <c r="E6">
        <v>1.3661E-2</v>
      </c>
      <c r="F6">
        <v>7.2979999999999998E-3</v>
      </c>
      <c r="G6">
        <v>8.0370999999999998E-2</v>
      </c>
      <c r="H6" s="1">
        <v>8.3393899999999998E-19</v>
      </c>
      <c r="I6" s="1">
        <v>2.4711899999999999E-19</v>
      </c>
      <c r="J6" s="1">
        <v>4.8080100000000002E-20</v>
      </c>
      <c r="K6" s="1">
        <v>4.3610199999999998E-20</v>
      </c>
      <c r="L6" s="1">
        <v>2.32968E-20</v>
      </c>
      <c r="M6" s="1">
        <v>2.5656200000000001E-19</v>
      </c>
      <c r="O6" t="s">
        <v>19</v>
      </c>
    </row>
    <row r="7" spans="1:23" x14ac:dyDescent="0.2">
      <c r="O7" t="s">
        <v>20</v>
      </c>
    </row>
    <row r="8" spans="1:23" x14ac:dyDescent="0.2">
      <c r="A8" t="s">
        <v>14</v>
      </c>
      <c r="O8" t="s">
        <v>21</v>
      </c>
    </row>
    <row r="9" spans="1:23" x14ac:dyDescent="0.2">
      <c r="B9" t="s">
        <v>1</v>
      </c>
      <c r="C9" t="s">
        <v>2</v>
      </c>
      <c r="E9" t="s">
        <v>2</v>
      </c>
      <c r="H9" t="s">
        <v>3</v>
      </c>
      <c r="O9" t="s">
        <v>22</v>
      </c>
    </row>
    <row r="10" spans="1:23" x14ac:dyDescent="0.2">
      <c r="A10" t="s">
        <v>4</v>
      </c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5</v>
      </c>
      <c r="I10" t="s">
        <v>6</v>
      </c>
      <c r="J10" t="s">
        <v>7</v>
      </c>
      <c r="K10" t="s">
        <v>8</v>
      </c>
      <c r="L10" t="s">
        <v>9</v>
      </c>
      <c r="M10" t="s">
        <v>10</v>
      </c>
    </row>
    <row r="11" spans="1:23" x14ac:dyDescent="0.2">
      <c r="A11" t="s">
        <v>11</v>
      </c>
      <c r="B11">
        <v>0.25402000000000002</v>
      </c>
      <c r="C11">
        <v>8.5106000000000001E-2</v>
      </c>
      <c r="D11">
        <v>1.5875E-2</v>
      </c>
      <c r="E11">
        <v>1.1960999999999999E-2</v>
      </c>
      <c r="F11">
        <v>8.1720000000000004E-3</v>
      </c>
      <c r="G11">
        <v>8.7776999999999994E-2</v>
      </c>
      <c r="H11" s="1">
        <v>7.3835499999999997E-19</v>
      </c>
      <c r="I11" s="1">
        <v>2.7167599999999998E-19</v>
      </c>
      <c r="J11" s="1">
        <v>5.0675299999999997E-20</v>
      </c>
      <c r="K11" s="1">
        <v>3.8182800000000002E-20</v>
      </c>
      <c r="L11" s="1">
        <v>2.6087E-20</v>
      </c>
      <c r="M11" s="1">
        <v>2.8020399999999998E-19</v>
      </c>
      <c r="P11" t="s">
        <v>5</v>
      </c>
      <c r="Q11" t="s">
        <v>6</v>
      </c>
      <c r="R11" t="s">
        <v>7</v>
      </c>
      <c r="S11" t="s">
        <v>8</v>
      </c>
      <c r="T11" t="s">
        <v>9</v>
      </c>
      <c r="U11" t="s">
        <v>10</v>
      </c>
    </row>
    <row r="12" spans="1:23" x14ac:dyDescent="0.2">
      <c r="A12" t="s">
        <v>12</v>
      </c>
      <c r="B12">
        <v>0.25253100000000001</v>
      </c>
      <c r="C12">
        <v>0.102476</v>
      </c>
      <c r="D12">
        <v>2.3602000000000001E-2</v>
      </c>
      <c r="E12">
        <v>-7.9199999999999995E-4</v>
      </c>
      <c r="F12">
        <v>8.1720000000000004E-3</v>
      </c>
      <c r="G12">
        <v>0.105479</v>
      </c>
      <c r="H12" s="1">
        <v>7.3360299999999997E-19</v>
      </c>
      <c r="I12" s="1">
        <v>3.27126E-19</v>
      </c>
      <c r="J12" s="1">
        <v>7.5342300000000004E-20</v>
      </c>
      <c r="K12" s="1">
        <v>-2.5292600000000001E-21</v>
      </c>
      <c r="L12" s="1">
        <v>2.6087E-20</v>
      </c>
      <c r="M12" s="1">
        <v>3.3671200000000002E-19</v>
      </c>
    </row>
    <row r="13" spans="1:23" x14ac:dyDescent="0.2">
      <c r="A13" t="s">
        <v>13</v>
      </c>
      <c r="B13">
        <v>0.26094600000000001</v>
      </c>
      <c r="C13">
        <v>6.6155000000000005E-2</v>
      </c>
      <c r="D13">
        <v>1.3771E-2</v>
      </c>
      <c r="E13">
        <v>7.6169999999999996E-3</v>
      </c>
      <c r="F13">
        <v>8.1720000000000004E-3</v>
      </c>
      <c r="G13">
        <v>6.8489999999999995E-2</v>
      </c>
      <c r="H13" s="1">
        <v>7.6046800000000004E-19</v>
      </c>
      <c r="I13" s="1">
        <v>2.1118099999999999E-19</v>
      </c>
      <c r="J13" s="1">
        <v>4.3961199999999997E-20</v>
      </c>
      <c r="K13" s="1">
        <v>2.43143E-20</v>
      </c>
      <c r="L13" s="1">
        <v>2.6087E-20</v>
      </c>
      <c r="M13" s="1">
        <v>2.1863599999999999E-19</v>
      </c>
    </row>
    <row r="15" spans="1:23" x14ac:dyDescent="0.2">
      <c r="A15" t="s">
        <v>15</v>
      </c>
    </row>
    <row r="16" spans="1:23" x14ac:dyDescent="0.2">
      <c r="B16" t="s">
        <v>1</v>
      </c>
      <c r="C16" t="s">
        <v>2</v>
      </c>
      <c r="D16" t="s">
        <v>3</v>
      </c>
      <c r="E16" t="s">
        <v>2</v>
      </c>
    </row>
    <row r="17" spans="1:13" x14ac:dyDescent="0.2">
      <c r="A17" t="s">
        <v>4</v>
      </c>
      <c r="B17" t="s">
        <v>5</v>
      </c>
      <c r="C17" t="s">
        <v>6</v>
      </c>
      <c r="D17" t="s">
        <v>7</v>
      </c>
      <c r="E17" t="s">
        <v>8</v>
      </c>
      <c r="F17" t="s">
        <v>9</v>
      </c>
      <c r="G17" t="s">
        <v>10</v>
      </c>
      <c r="H17" t="s">
        <v>5</v>
      </c>
      <c r="I17" t="s">
        <v>6</v>
      </c>
      <c r="J17" t="s">
        <v>7</v>
      </c>
      <c r="K17" t="s">
        <v>8</v>
      </c>
      <c r="L17" t="s">
        <v>9</v>
      </c>
      <c r="M17" t="s">
        <v>10</v>
      </c>
    </row>
    <row r="18" spans="1:13" x14ac:dyDescent="0.2">
      <c r="A18" t="s">
        <v>11</v>
      </c>
      <c r="B18">
        <v>0.51198100000000002</v>
      </c>
      <c r="C18">
        <v>6.9817000000000004E-2</v>
      </c>
      <c r="D18">
        <v>3.2154000000000002E-2</v>
      </c>
      <c r="E18">
        <v>2.7392E-2</v>
      </c>
      <c r="F18">
        <v>8.2430000000000003E-3</v>
      </c>
      <c r="G18">
        <v>8.2015000000000005E-2</v>
      </c>
      <c r="H18" s="1">
        <v>1.5398600000000001E-18</v>
      </c>
      <c r="I18" s="1">
        <v>2.2286999999999999E-19</v>
      </c>
      <c r="J18" s="1">
        <v>1.0264199999999999E-19</v>
      </c>
      <c r="K18" s="1">
        <v>8.7442599999999996E-20</v>
      </c>
      <c r="L18" s="1">
        <v>2.6313399999999999E-20</v>
      </c>
      <c r="M18" s="1">
        <v>2.61811E-19</v>
      </c>
    </row>
    <row r="19" spans="1:13" x14ac:dyDescent="0.2">
      <c r="A19" t="s">
        <v>12</v>
      </c>
      <c r="B19">
        <v>0.46260600000000002</v>
      </c>
      <c r="C19">
        <v>8.4856000000000001E-2</v>
      </c>
      <c r="D19">
        <v>3.4336999999999999E-2</v>
      </c>
      <c r="E19">
        <v>1.3952000000000001E-2</v>
      </c>
      <c r="F19">
        <v>8.2430000000000003E-3</v>
      </c>
      <c r="G19">
        <v>9.2964000000000005E-2</v>
      </c>
      <c r="H19" s="1">
        <v>1.38224E-18</v>
      </c>
      <c r="I19" s="1">
        <v>2.7088100000000002E-19</v>
      </c>
      <c r="J19" s="1">
        <v>1.09611E-19</v>
      </c>
      <c r="K19" s="1">
        <v>4.4537300000000002E-20</v>
      </c>
      <c r="L19" s="1">
        <v>2.6313399999999999E-20</v>
      </c>
      <c r="M19" s="1">
        <v>2.9676000000000001E-19</v>
      </c>
    </row>
    <row r="20" spans="1:13" x14ac:dyDescent="0.2">
      <c r="A20" t="s">
        <v>13</v>
      </c>
      <c r="B20">
        <v>0.50278</v>
      </c>
      <c r="C20">
        <v>5.4510999999999997E-2</v>
      </c>
      <c r="D20">
        <v>2.4098000000000001E-2</v>
      </c>
      <c r="E20">
        <v>2.351E-2</v>
      </c>
      <c r="F20">
        <v>8.2430000000000003E-3</v>
      </c>
      <c r="G20">
        <v>6.4598000000000003E-2</v>
      </c>
      <c r="H20" s="1">
        <v>1.51049E-18</v>
      </c>
      <c r="I20" s="1">
        <v>1.7401199999999999E-19</v>
      </c>
      <c r="J20" s="1">
        <v>7.6926800000000004E-20</v>
      </c>
      <c r="K20" s="1">
        <v>7.5048999999999994E-20</v>
      </c>
      <c r="L20" s="1">
        <v>2.6313399999999999E-20</v>
      </c>
      <c r="M20" s="1">
        <v>2.0621100000000001E-19</v>
      </c>
    </row>
    <row r="22" spans="1:13" x14ac:dyDescent="0.2">
      <c r="A22" t="s">
        <v>16</v>
      </c>
    </row>
    <row r="23" spans="1:13" x14ac:dyDescent="0.2">
      <c r="B23" t="s">
        <v>1</v>
      </c>
      <c r="C23" t="s">
        <v>2</v>
      </c>
      <c r="D23" t="s">
        <v>3</v>
      </c>
      <c r="E23" t="s">
        <v>2</v>
      </c>
    </row>
    <row r="24" spans="1:13" x14ac:dyDescent="0.2">
      <c r="A24" t="s">
        <v>4</v>
      </c>
      <c r="B24" t="s">
        <v>5</v>
      </c>
      <c r="C24" t="s">
        <v>6</v>
      </c>
      <c r="D24" t="s">
        <v>7</v>
      </c>
      <c r="E24" t="s">
        <v>8</v>
      </c>
      <c r="F24" t="s">
        <v>9</v>
      </c>
      <c r="G24" t="s">
        <v>10</v>
      </c>
      <c r="H24" t="s">
        <v>5</v>
      </c>
      <c r="I24" t="s">
        <v>6</v>
      </c>
      <c r="J24" t="s">
        <v>7</v>
      </c>
      <c r="K24" t="s">
        <v>8</v>
      </c>
      <c r="L24" t="s">
        <v>9</v>
      </c>
      <c r="M24" t="s">
        <v>10</v>
      </c>
    </row>
    <row r="25" spans="1:13" x14ac:dyDescent="0.2">
      <c r="A25" t="s">
        <v>11</v>
      </c>
      <c r="B25">
        <v>0.35704900000000001</v>
      </c>
      <c r="C25">
        <v>6.1284999999999999E-2</v>
      </c>
      <c r="D25">
        <v>2.2304999999999998E-2</v>
      </c>
      <c r="E25">
        <v>1.8165000000000001E-2</v>
      </c>
      <c r="F25">
        <v>9.1450000000000004E-3</v>
      </c>
      <c r="G25">
        <v>6.8315000000000001E-2</v>
      </c>
      <c r="H25" s="1">
        <v>1.0303500000000001E-18</v>
      </c>
      <c r="I25" s="1">
        <v>1.9563599999999999E-19</v>
      </c>
      <c r="J25" s="1">
        <v>7.1201400000000002E-20</v>
      </c>
      <c r="K25" s="1">
        <v>5.7986500000000006E-20</v>
      </c>
      <c r="L25" s="1">
        <v>2.91939E-20</v>
      </c>
      <c r="M25" s="1">
        <v>2.1807699999999998E-19</v>
      </c>
    </row>
    <row r="26" spans="1:13" x14ac:dyDescent="0.2">
      <c r="A26" t="s">
        <v>12</v>
      </c>
      <c r="B26">
        <v>0.335532</v>
      </c>
      <c r="C26">
        <v>7.4518000000000001E-2</v>
      </c>
      <c r="D26">
        <v>2.7038E-2</v>
      </c>
      <c r="E26">
        <v>2.1829999999999999E-2</v>
      </c>
      <c r="F26">
        <v>9.1450000000000004E-3</v>
      </c>
      <c r="G26">
        <v>8.2728999999999997E-2</v>
      </c>
      <c r="H26" s="1">
        <v>9.61665E-19</v>
      </c>
      <c r="I26" s="1">
        <v>2.3787700000000001E-19</v>
      </c>
      <c r="J26" s="1">
        <v>8.6311299999999999E-20</v>
      </c>
      <c r="K26" s="1">
        <v>6.96854E-20</v>
      </c>
      <c r="L26" s="1">
        <v>2.91939E-20</v>
      </c>
      <c r="M26" s="1">
        <v>2.6409000000000002E-19</v>
      </c>
    </row>
    <row r="27" spans="1:13" x14ac:dyDescent="0.2">
      <c r="A27" t="s">
        <v>13</v>
      </c>
      <c r="B27">
        <v>0.35107300000000002</v>
      </c>
      <c r="C27">
        <v>4.7853E-2</v>
      </c>
      <c r="D27">
        <v>1.6421999999999999E-2</v>
      </c>
      <c r="E27">
        <v>2.0326E-2</v>
      </c>
      <c r="F27">
        <v>9.1450000000000004E-3</v>
      </c>
      <c r="G27">
        <v>5.5285000000000001E-2</v>
      </c>
      <c r="H27" s="1">
        <v>1.0112799999999999E-18</v>
      </c>
      <c r="I27" s="1">
        <v>1.5275800000000001E-19</v>
      </c>
      <c r="J27" s="1">
        <v>5.2423700000000001E-20</v>
      </c>
      <c r="K27" s="1">
        <v>6.4886299999999998E-20</v>
      </c>
      <c r="L27" s="1">
        <v>2.91939E-20</v>
      </c>
      <c r="M27" s="1">
        <v>1.7648200000000001E-19</v>
      </c>
    </row>
  </sheetData>
  <mergeCells count="4">
    <mergeCell ref="P2:Q2"/>
    <mergeCell ref="R2:S2"/>
    <mergeCell ref="T2:U2"/>
    <mergeCell ref="V2:W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ThesisFitResults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2022-06-13T09:48:15Z</dcterms:created>
  <dcterms:modified xsi:type="dcterms:W3CDTF">2022-06-13T23:16:44Z</dcterms:modified>
</cp:coreProperties>
</file>