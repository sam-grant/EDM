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A64D32B1-863B-5944-8066-E01D8BDE6807}" xr6:coauthVersionLast="47" xr6:coauthVersionMax="47" xr10:uidLastSave="{00000000-0000-0000-0000-000000000000}"/>
  <bookViews>
    <workbookView xWindow="-2120" yWindow="-20220" windowWidth="28800" windowHeight="17500" activeTab="1" xr2:uid="{46C0C8EE-F9CC-6B4A-9F1A-AF04040EA546}"/>
  </bookViews>
  <sheets>
    <sheet name="draf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3" i="2" l="1"/>
  <c r="K18" i="1"/>
  <c r="K14" i="1"/>
  <c r="L35" i="1"/>
  <c r="K35" i="1"/>
  <c r="L34" i="1"/>
  <c r="K34" i="1"/>
  <c r="L31" i="1"/>
  <c r="K31" i="1"/>
  <c r="L30" i="1"/>
  <c r="K30" i="1"/>
  <c r="L27" i="1"/>
  <c r="K27" i="1"/>
  <c r="L26" i="1"/>
  <c r="K26" i="1"/>
  <c r="L23" i="1"/>
  <c r="L22" i="1"/>
  <c r="K23" i="1"/>
  <c r="K22" i="1"/>
  <c r="L10" i="1"/>
  <c r="L11" i="1"/>
  <c r="L9" i="1"/>
  <c r="K10" i="1"/>
  <c r="K11" i="1"/>
  <c r="K9" i="1"/>
</calcChain>
</file>

<file path=xl/sharedStrings.xml><?xml version="1.0" encoding="utf-8"?>
<sst xmlns="http://schemas.openxmlformats.org/spreadsheetml/2006/main" count="167" uniqueCount="31">
  <si>
    <t>Simulation</t>
  </si>
  <si>
    <t>S0</t>
  </si>
  <si>
    <t>S12</t>
  </si>
  <si>
    <t>S18</t>
  </si>
  <si>
    <t>Run-1a</t>
  </si>
  <si>
    <t>Run-1b</t>
  </si>
  <si>
    <t>Run-1c</t>
  </si>
  <si>
    <t>Run-1d</t>
  </si>
  <si>
    <t>y-intercept [mrad]</t>
  </si>
  <si>
    <t>slope [mrad/MeV]</t>
  </si>
  <si>
    <t xml:space="preserve">Value </t>
  </si>
  <si>
    <t>Error</t>
  </si>
  <si>
    <t>Value</t>
  </si>
  <si>
    <t>Vertical beam position [mm]</t>
  </si>
  <si>
    <t>How does changing the relative beam position change the slopes?</t>
  </si>
  <si>
    <t>Beam position - alignment offset [mm]</t>
  </si>
  <si>
    <t>Alignment offsets</t>
  </si>
  <si>
    <t>verticalshift</t>
  </si>
  <si>
    <t>trackeryzangle</t>
  </si>
  <si>
    <t>S12 (0 mm)</t>
  </si>
  <si>
    <t>S12 (1 mm)</t>
  </si>
  <si>
    <t>S18 (0 mm)</t>
  </si>
  <si>
    <t>S18 (-1 mm)</t>
  </si>
  <si>
    <t xml:space="preserve">Sim slopes </t>
  </si>
  <si>
    <t>Data slopes</t>
  </si>
  <si>
    <t>Sim slopes</t>
  </si>
  <si>
    <t>Data y-intercepts</t>
  </si>
  <si>
    <t>Sim</t>
  </si>
  <si>
    <t>&lt;theta_y&gt;/p</t>
  </si>
  <si>
    <t>&lt;y&gt;/p</t>
  </si>
  <si>
    <t>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</si>
</sst>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/>
    <xf numFmtId="11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plus>
            <c:min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(draft!$K$22,draft!$K$26,draft!$K$30,draft!$K$34)</c:f>
              <c:numCache>
                <c:formatCode>General</c:formatCode>
                <c:ptCount val="4"/>
                <c:pt idx="0">
                  <c:v>0.75909400000000005</c:v>
                </c:pt>
                <c:pt idx="1">
                  <c:v>0.68598300000000001</c:v>
                </c:pt>
                <c:pt idx="2">
                  <c:v>1.0528690000000001</c:v>
                </c:pt>
                <c:pt idx="3">
                  <c:v>1.5545500000000001</c:v>
                </c:pt>
              </c:numCache>
            </c:numRef>
          </c:xVal>
          <c:yVal>
            <c:numRef>
              <c:f>(draft!$H$22,draft!$H$26,draft!$H$30,draft!$H$34)</c:f>
              <c:numCache>
                <c:formatCode>0.00E+00</c:formatCode>
                <c:ptCount val="4"/>
                <c:pt idx="0">
                  <c:v>3.5148500000000001E-4</c:v>
                </c:pt>
                <c:pt idx="1">
                  <c:v>3.4416399999999999E-4</c:v>
                </c:pt>
                <c:pt idx="2">
                  <c:v>4.4956E-4</c:v>
                </c:pt>
                <c:pt idx="3">
                  <c:v>5.7741599999999998E-4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4-904A-9B9E-A13419F79263}"/>
            </c:ext>
          </c:extLst>
        </c:ser>
        <c:ser>
          <c:idx val="1"/>
          <c:order val="1"/>
          <c:tx>
            <c:v>S18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0.0003x + 5E-05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plus>
            <c:min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(draft!$K$23,draft!$K$27,draft!$K$31,draft!$K$35)</c:f>
              <c:numCache>
                <c:formatCode>General</c:formatCode>
                <c:ptCount val="4"/>
                <c:pt idx="0">
                  <c:v>1.1711179999999999</c:v>
                </c:pt>
                <c:pt idx="1">
                  <c:v>1.0988370000000001</c:v>
                </c:pt>
                <c:pt idx="2">
                  <c:v>1.459387</c:v>
                </c:pt>
                <c:pt idx="3">
                  <c:v>1.9464199999999998</c:v>
                </c:pt>
              </c:numCache>
            </c:numRef>
          </c:xVal>
          <c:yVal>
            <c:numRef>
              <c:f>(draft!$H$23,draft!$H$27,draft!$H$31,draft!$H$35)</c:f>
              <c:numCache>
                <c:formatCode>0.00E+00</c:formatCode>
                <c:ptCount val="4"/>
                <c:pt idx="0">
                  <c:v>3.7227700000000001E-4</c:v>
                </c:pt>
                <c:pt idx="1">
                  <c:v>3.1826899999999998E-4</c:v>
                </c:pt>
                <c:pt idx="2">
                  <c:v>4.1102000000000001E-4</c:v>
                </c:pt>
                <c:pt idx="3">
                  <c:v>5.4995E-4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64-904A-9B9E-A13419F79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932239"/>
        <c:axId val="1522933887"/>
      </c:scatterChart>
      <c:valAx>
        <c:axId val="152293223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</a:t>
                </a:r>
                <a:r>
                  <a:rPr lang="en-GB" baseline="0"/>
                  <a:t> Y-position - tracker vertical offset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3887"/>
        <c:crosses val="autoZero"/>
        <c:crossBetween val="midCat"/>
      </c:valAx>
      <c:valAx>
        <c:axId val="1522933887"/>
        <c:scaling>
          <c:orientation val="minMax"/>
          <c:min val="2.0000000000000006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Slope</a:t>
                </a:r>
                <a:r>
                  <a:rPr lang="en-GB" baseline="0"/>
                  <a:t> [mrad/MeV]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(draft!$I$14,draft!$I$15)</c:f>
                <c:numCache>
                  <c:formatCode>General</c:formatCode>
                  <c:ptCount val="2"/>
                  <c:pt idx="0">
                    <c:v>1.6704699999999999E-5</c:v>
                  </c:pt>
                  <c:pt idx="1">
                    <c:v>1.6830600000000001E-5</c:v>
                  </c:pt>
                </c:numCache>
              </c:numRef>
            </c:plus>
            <c:minus>
              <c:numRef>
                <c:f>(draft!$I$14,draft!$I$15)</c:f>
                <c:numCache>
                  <c:formatCode>General</c:formatCode>
                  <c:ptCount val="2"/>
                  <c:pt idx="0">
                    <c:v>1.6704699999999999E-5</c:v>
                  </c:pt>
                  <c:pt idx="1">
                    <c:v>1.6830600000000001E-5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Ref>
              <c:f>(draft!$H$14,draft!$H$15)</c:f>
              <c:numCache>
                <c:formatCode>0.00E+00</c:formatCode>
                <c:ptCount val="2"/>
                <c:pt idx="0">
                  <c:v>2.32807E-4</c:v>
                </c:pt>
                <c:pt idx="1">
                  <c:v>2.4216E-4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DC-8646-B62A-B92ABF9DB6EC}"/>
            </c:ext>
          </c:extLst>
        </c:ser>
        <c:ser>
          <c:idx val="1"/>
          <c:order val="1"/>
          <c:tx>
            <c:v>S18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(draft!$I$17,draft!$I$18)</c:f>
                <c:numCache>
                  <c:formatCode>General</c:formatCode>
                  <c:ptCount val="2"/>
                  <c:pt idx="0">
                    <c:v>1.7008400000000001E-5</c:v>
                  </c:pt>
                  <c:pt idx="1">
                    <c:v>1.7266500000000001E-5</c:v>
                  </c:pt>
                </c:numCache>
              </c:numRef>
            </c:plus>
            <c:minus>
              <c:numRef>
                <c:f>(draft!$I$17,draft!$I$18)</c:f>
                <c:numCache>
                  <c:formatCode>General</c:formatCode>
                  <c:ptCount val="2"/>
                  <c:pt idx="0">
                    <c:v>1.7008400000000001E-5</c:v>
                  </c:pt>
                  <c:pt idx="1">
                    <c:v>1.7266500000000001E-5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2"/>
              <c:pt idx="0">
                <c:v>0</c:v>
              </c:pt>
              <c:pt idx="1">
                <c:v>-1</c:v>
              </c:pt>
            </c:numLit>
          </c:xVal>
          <c:yVal>
            <c:numRef>
              <c:f>(draft!$H$17,draft!$H$18)</c:f>
              <c:numCache>
                <c:formatCode>0.00E+00</c:formatCode>
                <c:ptCount val="2"/>
                <c:pt idx="0">
                  <c:v>1.50762E-4</c:v>
                </c:pt>
                <c:pt idx="1">
                  <c:v>1.3101599999999999E-4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DC-8646-B62A-B92ABF9DB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660319"/>
        <c:axId val="1519046015"/>
      </c:scatterChart>
      <c:valAx>
        <c:axId val="154766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46015"/>
        <c:crosses val="autoZero"/>
        <c:crossBetween val="midCat"/>
      </c:valAx>
      <c:valAx>
        <c:axId val="15190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660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plus>
            <c:min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(draft!$C$22,draft!$C$26,draft!$C$30,draft!$C$34)</c:f>
              <c:numCache>
                <c:formatCode>General</c:formatCode>
                <c:ptCount val="4"/>
                <c:pt idx="0">
                  <c:v>0.209094</c:v>
                </c:pt>
                <c:pt idx="1">
                  <c:v>0.13598299999999999</c:v>
                </c:pt>
                <c:pt idx="2">
                  <c:v>0.50286900000000001</c:v>
                </c:pt>
                <c:pt idx="3">
                  <c:v>1.0045500000000001</c:v>
                </c:pt>
              </c:numCache>
            </c:numRef>
          </c:xVal>
          <c:yVal>
            <c:numRef>
              <c:f>(draft!$H$22,draft!$H$26,draft!$H$30,draft!$H$34)</c:f>
              <c:numCache>
                <c:formatCode>0.00E+00</c:formatCode>
                <c:ptCount val="4"/>
                <c:pt idx="0">
                  <c:v>3.5148500000000001E-4</c:v>
                </c:pt>
                <c:pt idx="1">
                  <c:v>3.4416399999999999E-4</c:v>
                </c:pt>
                <c:pt idx="2">
                  <c:v>4.4956E-4</c:v>
                </c:pt>
                <c:pt idx="3">
                  <c:v>5.7741599999999998E-4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8C-A043-94F2-E53AE38AF760}"/>
            </c:ext>
          </c:extLst>
        </c:ser>
        <c:ser>
          <c:idx val="1"/>
          <c:order val="1"/>
          <c:tx>
            <c:v>S18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0.60000000000000009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plus>
            <c:min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(draft!$C$23,draft!$C$27,draft!$C$31,draft!$C$35)</c:f>
              <c:numCache>
                <c:formatCode>General</c:formatCode>
                <c:ptCount val="4"/>
                <c:pt idx="0">
                  <c:v>0.56111800000000001</c:v>
                </c:pt>
                <c:pt idx="1">
                  <c:v>0.48883700000000002</c:v>
                </c:pt>
                <c:pt idx="2">
                  <c:v>0.849387</c:v>
                </c:pt>
                <c:pt idx="3">
                  <c:v>1.3364199999999999</c:v>
                </c:pt>
              </c:numCache>
            </c:numRef>
          </c:xVal>
          <c:yVal>
            <c:numRef>
              <c:f>(draft!$H$23,draft!$H$27,draft!$H$31,draft!$H$35)</c:f>
              <c:numCache>
                <c:formatCode>0.00E+00</c:formatCode>
                <c:ptCount val="4"/>
                <c:pt idx="0">
                  <c:v>3.7227700000000001E-4</c:v>
                </c:pt>
                <c:pt idx="1">
                  <c:v>3.1826899999999998E-4</c:v>
                </c:pt>
                <c:pt idx="2">
                  <c:v>4.1102000000000001E-4</c:v>
                </c:pt>
                <c:pt idx="3">
                  <c:v>5.4995E-4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8C-A043-94F2-E53AE38AF760}"/>
            </c:ext>
          </c:extLst>
        </c:ser>
        <c:ser>
          <c:idx val="2"/>
          <c:order val="2"/>
          <c:tx>
            <c:v>S12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draft!$I$10</c:f>
                <c:numCache>
                  <c:formatCode>General</c:formatCode>
                  <c:ptCount val="1"/>
                  <c:pt idx="0">
                    <c:v>1.10134E-5</c:v>
                  </c:pt>
                </c:numCache>
              </c:numRef>
            </c:plus>
            <c:minus>
              <c:numRef>
                <c:f>draft!$I$10</c:f>
                <c:numCache>
                  <c:formatCode>General</c:formatCode>
                  <c:ptCount val="1"/>
                  <c:pt idx="0">
                    <c:v>1.10134E-5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draft!$C$10</c:f>
              <c:numCache>
                <c:formatCode>General</c:formatCode>
                <c:ptCount val="1"/>
                <c:pt idx="0">
                  <c:v>-8.3742700000000003E-2</c:v>
                </c:pt>
              </c:numCache>
            </c:numRef>
          </c:xVal>
          <c:yVal>
            <c:numRef>
              <c:f>draft!$H$10</c:f>
              <c:numCache>
                <c:formatCode>0.00E+00</c:formatCode>
                <c:ptCount val="1"/>
                <c:pt idx="0">
                  <c:v>2.1442E-4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8A-4845-AAD4-061CA583C630}"/>
            </c:ext>
          </c:extLst>
        </c:ser>
        <c:ser>
          <c:idx val="3"/>
          <c:order val="3"/>
          <c:tx>
            <c:v>S18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draft!$I$11</c:f>
                <c:numCache>
                  <c:formatCode>General</c:formatCode>
                  <c:ptCount val="1"/>
                  <c:pt idx="0">
                    <c:v>1.10898E-5</c:v>
                  </c:pt>
                </c:numCache>
              </c:numRef>
            </c:plus>
            <c:minus>
              <c:numRef>
                <c:f>draft!$I$11</c:f>
                <c:numCache>
                  <c:formatCode>General</c:formatCode>
                  <c:ptCount val="1"/>
                  <c:pt idx="0">
                    <c:v>1.10898E-5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draft!$C$11</c:f>
              <c:numCache>
                <c:formatCode>General</c:formatCode>
                <c:ptCount val="1"/>
                <c:pt idx="0">
                  <c:v>-7.28877E-2</c:v>
                </c:pt>
              </c:numCache>
            </c:numRef>
          </c:xVal>
          <c:yVal>
            <c:numRef>
              <c:f>draft!$H$11</c:f>
              <c:numCache>
                <c:formatCode>0.00E+00</c:formatCode>
                <c:ptCount val="1"/>
                <c:pt idx="0">
                  <c:v>1.79765E-4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8A-4845-AAD4-061CA583C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932239"/>
        <c:axId val="1522933887"/>
      </c:scatterChart>
      <c:valAx>
        <c:axId val="1522932239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</a:t>
                </a:r>
                <a:r>
                  <a:rPr lang="en-GB" baseline="0"/>
                  <a:t> Y-position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3887"/>
        <c:crosses val="autoZero"/>
        <c:crossBetween val="midCat"/>
      </c:valAx>
      <c:valAx>
        <c:axId val="152293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Slope</a:t>
                </a:r>
                <a:r>
                  <a:rPr lang="en-GB" baseline="0"/>
                  <a:t> [mrad/MeV]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plus>
            <c:min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(draft!$K$22,draft!$K$26,draft!$K$30,draft!$K$34)</c:f>
              <c:numCache>
                <c:formatCode>General</c:formatCode>
                <c:ptCount val="4"/>
                <c:pt idx="0">
                  <c:v>0.75909400000000005</c:v>
                </c:pt>
                <c:pt idx="1">
                  <c:v>0.68598300000000001</c:v>
                </c:pt>
                <c:pt idx="2">
                  <c:v>1.0528690000000001</c:v>
                </c:pt>
                <c:pt idx="3">
                  <c:v>1.5545500000000001</c:v>
                </c:pt>
              </c:numCache>
            </c:numRef>
          </c:xVal>
          <c:yVal>
            <c:numRef>
              <c:f>(draft!$H$22,draft!$H$26,draft!$H$30,draft!$H$34)</c:f>
              <c:numCache>
                <c:formatCode>0.00E+00</c:formatCode>
                <c:ptCount val="4"/>
                <c:pt idx="0">
                  <c:v>3.5148500000000001E-4</c:v>
                </c:pt>
                <c:pt idx="1">
                  <c:v>3.4416399999999999E-4</c:v>
                </c:pt>
                <c:pt idx="2">
                  <c:v>4.4956E-4</c:v>
                </c:pt>
                <c:pt idx="3">
                  <c:v>5.7741599999999998E-4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7-A240-B6EA-31CF8E043C01}"/>
            </c:ext>
          </c:extLst>
        </c:ser>
        <c:ser>
          <c:idx val="1"/>
          <c:order val="1"/>
          <c:tx>
            <c:v>S18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0.60000000000000009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plus>
            <c:min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(draft!$K$23,draft!$K$27,draft!$K$31,draft!$K$35)</c:f>
              <c:numCache>
                <c:formatCode>General</c:formatCode>
                <c:ptCount val="4"/>
                <c:pt idx="0">
                  <c:v>1.1711179999999999</c:v>
                </c:pt>
                <c:pt idx="1">
                  <c:v>1.0988370000000001</c:v>
                </c:pt>
                <c:pt idx="2">
                  <c:v>1.459387</c:v>
                </c:pt>
                <c:pt idx="3">
                  <c:v>1.9464199999999998</c:v>
                </c:pt>
              </c:numCache>
            </c:numRef>
          </c:xVal>
          <c:yVal>
            <c:numRef>
              <c:f>(draft!$H$23,draft!$H$27,draft!$H$31,draft!$H$35)</c:f>
              <c:numCache>
                <c:formatCode>0.00E+00</c:formatCode>
                <c:ptCount val="4"/>
                <c:pt idx="0">
                  <c:v>3.7227700000000001E-4</c:v>
                </c:pt>
                <c:pt idx="1">
                  <c:v>3.1826899999999998E-4</c:v>
                </c:pt>
                <c:pt idx="2">
                  <c:v>4.1102000000000001E-4</c:v>
                </c:pt>
                <c:pt idx="3">
                  <c:v>5.4995E-4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07-A240-B6EA-31CF8E043C01}"/>
            </c:ext>
          </c:extLst>
        </c:ser>
        <c:ser>
          <c:idx val="2"/>
          <c:order val="2"/>
          <c:tx>
            <c:v>S12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draft!$I$10</c:f>
                <c:numCache>
                  <c:formatCode>General</c:formatCode>
                  <c:ptCount val="1"/>
                  <c:pt idx="0">
                    <c:v>1.10134E-5</c:v>
                  </c:pt>
                </c:numCache>
              </c:numRef>
            </c:plus>
            <c:minus>
              <c:numRef>
                <c:f>draft!$I$10</c:f>
                <c:numCache>
                  <c:formatCode>General</c:formatCode>
                  <c:ptCount val="1"/>
                  <c:pt idx="0">
                    <c:v>1.10134E-5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draft!$K$10</c:f>
              <c:numCache>
                <c:formatCode>General</c:formatCode>
                <c:ptCount val="1"/>
                <c:pt idx="0">
                  <c:v>0.46625730000000004</c:v>
                </c:pt>
              </c:numCache>
            </c:numRef>
          </c:xVal>
          <c:yVal>
            <c:numRef>
              <c:f>draft!$H$10</c:f>
              <c:numCache>
                <c:formatCode>0.00E+00</c:formatCode>
                <c:ptCount val="1"/>
                <c:pt idx="0">
                  <c:v>2.1442E-4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07-A240-B6EA-31CF8E043C01}"/>
            </c:ext>
          </c:extLst>
        </c:ser>
        <c:ser>
          <c:idx val="3"/>
          <c:order val="3"/>
          <c:tx>
            <c:v>S18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draft!$I$11</c:f>
                <c:numCache>
                  <c:formatCode>General</c:formatCode>
                  <c:ptCount val="1"/>
                  <c:pt idx="0">
                    <c:v>1.10898E-5</c:v>
                  </c:pt>
                </c:numCache>
              </c:numRef>
            </c:plus>
            <c:minus>
              <c:numRef>
                <c:f>draft!$I$11</c:f>
                <c:numCache>
                  <c:formatCode>General</c:formatCode>
                  <c:ptCount val="1"/>
                  <c:pt idx="0">
                    <c:v>1.10898E-5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draft!$K$11</c:f>
              <c:numCache>
                <c:formatCode>General</c:formatCode>
                <c:ptCount val="1"/>
                <c:pt idx="0">
                  <c:v>0.53711229999999999</c:v>
                </c:pt>
              </c:numCache>
            </c:numRef>
          </c:xVal>
          <c:yVal>
            <c:numRef>
              <c:f>draft!$H$11</c:f>
              <c:numCache>
                <c:formatCode>0.00E+00</c:formatCode>
                <c:ptCount val="1"/>
                <c:pt idx="0">
                  <c:v>1.79765E-4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07-A240-B6EA-31CF8E043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932239"/>
        <c:axId val="1522933887"/>
      </c:scatterChart>
      <c:valAx>
        <c:axId val="1522932239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</a:t>
                </a:r>
                <a:r>
                  <a:rPr lang="en-GB" baseline="0"/>
                  <a:t> Y-position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3887"/>
        <c:crosses val="autoZero"/>
        <c:crossBetween val="midCat"/>
      </c:valAx>
      <c:valAx>
        <c:axId val="152293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Slope</a:t>
                </a:r>
                <a:r>
                  <a:rPr lang="en-GB" baseline="0"/>
                  <a:t> [mrad/MeV]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4"/>
          <c:order val="0"/>
          <c:tx>
            <c:v>S12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backward val="0.5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plus>
            <c:min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(Sheet2!$C$15,Sheet2!$C$19,Sheet2!$C$23,Sheet2!$C$27)</c:f>
              <c:numCache>
                <c:formatCode>General</c:formatCode>
                <c:ptCount val="4"/>
                <c:pt idx="0">
                  <c:v>0.209094</c:v>
                </c:pt>
                <c:pt idx="1">
                  <c:v>0.13598299999999999</c:v>
                </c:pt>
                <c:pt idx="2">
                  <c:v>0.50286900000000001</c:v>
                </c:pt>
                <c:pt idx="3">
                  <c:v>1.0045500000000001</c:v>
                </c:pt>
              </c:numCache>
            </c:numRef>
          </c:xVal>
          <c:yVal>
            <c:numRef>
              <c:f>(Sheet2!$H$15,Sheet2!$H$19,Sheet2!$H$23,Sheet2!$H$27)</c:f>
              <c:numCache>
                <c:formatCode>0.00E+00</c:formatCode>
                <c:ptCount val="4"/>
                <c:pt idx="0">
                  <c:v>3.4707599999999998E-4</c:v>
                </c:pt>
                <c:pt idx="1">
                  <c:v>3.3789300000000003E-4</c:v>
                </c:pt>
                <c:pt idx="2">
                  <c:v>4.47384E-4</c:v>
                </c:pt>
                <c:pt idx="3">
                  <c:v>5.6858500000000003E-4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3B7-FA47-B5F3-4BD2DB626A0F}"/>
            </c:ext>
          </c:extLst>
        </c:ser>
        <c:ser>
          <c:idx val="5"/>
          <c:order val="1"/>
          <c:tx>
            <c:v>S18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backward val="0.5"/>
            <c:dispRSqr val="0"/>
            <c:dispEq val="1"/>
            <c:trendlineLbl>
              <c:layout>
                <c:manualLayout>
                  <c:x val="9.8075725100414915E-2"/>
                  <c:y val="-7.77867564912123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plus>
            <c:min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(Sheet2!$C$16,Sheet2!$C$20,Sheet2!$C$24,Sheet2!$C$28)</c:f>
              <c:numCache>
                <c:formatCode>General</c:formatCode>
                <c:ptCount val="4"/>
                <c:pt idx="0">
                  <c:v>0.56111800000000001</c:v>
                </c:pt>
                <c:pt idx="1">
                  <c:v>0.48883700000000002</c:v>
                </c:pt>
                <c:pt idx="2">
                  <c:v>0.849387</c:v>
                </c:pt>
                <c:pt idx="3">
                  <c:v>1.3364199999999999</c:v>
                </c:pt>
              </c:numCache>
            </c:numRef>
          </c:xVal>
          <c:yVal>
            <c:numRef>
              <c:f>(Sheet2!$H$16,Sheet2!$H$20,Sheet2!$H$24,Sheet2!$H$28)</c:f>
              <c:numCache>
                <c:formatCode>0.00E+00</c:formatCode>
                <c:ptCount val="4"/>
                <c:pt idx="0">
                  <c:v>3.6436299999999998E-4</c:v>
                </c:pt>
                <c:pt idx="1">
                  <c:v>3.1423999999999997E-4</c:v>
                </c:pt>
                <c:pt idx="2">
                  <c:v>4.0067E-4</c:v>
                </c:pt>
                <c:pt idx="3">
                  <c:v>5.42341E-4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3B7-FA47-B5F3-4BD2DB626A0F}"/>
            </c:ext>
          </c:extLst>
        </c:ser>
        <c:ser>
          <c:idx val="6"/>
          <c:order val="2"/>
          <c:tx>
            <c:v>S12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draft!$I$10</c:f>
                <c:numCache>
                  <c:formatCode>General</c:formatCode>
                  <c:ptCount val="1"/>
                  <c:pt idx="0">
                    <c:v>1.10134E-5</c:v>
                  </c:pt>
                </c:numCache>
              </c:numRef>
            </c:plus>
            <c:minus>
              <c:numRef>
                <c:f>draft!$I$10</c:f>
                <c:numCache>
                  <c:formatCode>General</c:formatCode>
                  <c:ptCount val="1"/>
                  <c:pt idx="0">
                    <c:v>1.10134E-5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Sheet2!$C$10</c:f>
              <c:numCache>
                <c:formatCode>General</c:formatCode>
                <c:ptCount val="1"/>
                <c:pt idx="0">
                  <c:v>-8.3742700000000003E-2</c:v>
                </c:pt>
              </c:numCache>
            </c:numRef>
          </c:xVal>
          <c:yVal>
            <c:numRef>
              <c:f>Sheet2!$H$10</c:f>
              <c:numCache>
                <c:formatCode>0.00E+00</c:formatCode>
                <c:ptCount val="1"/>
                <c:pt idx="0">
                  <c:v>2.0881400000000001E-4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3B7-FA47-B5F3-4BD2DB626A0F}"/>
            </c:ext>
          </c:extLst>
        </c:ser>
        <c:ser>
          <c:idx val="7"/>
          <c:order val="3"/>
          <c:tx>
            <c:v>S18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</c:dPt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draft!$I$11</c:f>
                <c:numCache>
                  <c:formatCode>General</c:formatCode>
                  <c:ptCount val="1"/>
                  <c:pt idx="0">
                    <c:v>1.10898E-5</c:v>
                  </c:pt>
                </c:numCache>
              </c:numRef>
            </c:plus>
            <c:minus>
              <c:numRef>
                <c:f>draft!$I$11</c:f>
                <c:numCache>
                  <c:formatCode>General</c:formatCode>
                  <c:ptCount val="1"/>
                  <c:pt idx="0">
                    <c:v>1.10898E-5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Sheet2!$C$11</c:f>
              <c:numCache>
                <c:formatCode>General</c:formatCode>
                <c:ptCount val="1"/>
                <c:pt idx="0">
                  <c:v>-7.28877E-2</c:v>
                </c:pt>
              </c:numCache>
            </c:numRef>
          </c:xVal>
          <c:yVal>
            <c:numRef>
              <c:f>Sheet2!$H$11</c:f>
              <c:numCache>
                <c:formatCode>0.00E+00</c:formatCode>
                <c:ptCount val="1"/>
                <c:pt idx="0">
                  <c:v>1.7224100000000001E-4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3B7-FA47-B5F3-4BD2DB626A0F}"/>
            </c:ext>
          </c:extLst>
        </c:ser>
        <c:ser>
          <c:idx val="1"/>
          <c:order val="4"/>
          <c:tx>
            <c:v>S12 (shifted)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0.5"/>
            <c:dispRSqr val="0"/>
            <c:dispEq val="0"/>
          </c:trendline>
          <c:xVal>
            <c:numRef>
              <c:f>(Sheet2!$C$16,Sheet2!$C$20,Sheet2!$C$24,Sheet2!$C$28)</c:f>
              <c:numCache>
                <c:formatCode>General</c:formatCode>
                <c:ptCount val="4"/>
                <c:pt idx="0">
                  <c:v>0.56111800000000001</c:v>
                </c:pt>
                <c:pt idx="1">
                  <c:v>0.48883700000000002</c:v>
                </c:pt>
                <c:pt idx="2">
                  <c:v>0.849387</c:v>
                </c:pt>
                <c:pt idx="3">
                  <c:v>1.3364199999999999</c:v>
                </c:pt>
              </c:numCache>
            </c:numRef>
          </c:xVal>
          <c:yVal>
            <c:numRef>
              <c:f>(Sheet2!$H$15,Sheet2!$H$19,Sheet2!$H$23,Sheet2!$H$27)</c:f>
              <c:numCache>
                <c:formatCode>0.00E+00</c:formatCode>
                <c:ptCount val="4"/>
                <c:pt idx="0">
                  <c:v>3.4707599999999998E-4</c:v>
                </c:pt>
                <c:pt idx="1">
                  <c:v>3.3789300000000003E-4</c:v>
                </c:pt>
                <c:pt idx="2">
                  <c:v>4.47384E-4</c:v>
                </c:pt>
                <c:pt idx="3">
                  <c:v>5.6858500000000003E-4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97-3949-B1C6-79DEA2FFB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932239"/>
        <c:axId val="1522933887"/>
      </c:scatterChart>
      <c:valAx>
        <c:axId val="1522932239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</a:t>
                </a:r>
                <a:r>
                  <a:rPr lang="en-GB" baseline="0"/>
                  <a:t> Y-position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3887"/>
        <c:crosses val="autoZero"/>
        <c:crossBetween val="midCat"/>
      </c:valAx>
      <c:valAx>
        <c:axId val="152293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Slope</a:t>
                </a:r>
                <a:r>
                  <a:rPr lang="en-GB" baseline="0"/>
                  <a:t> [mrad/MeV]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plus>
            <c:minus>
              <c:numRef>
                <c:f>(draft!$I$22,draft!$I$26,draft!$I$30,draft!$I$34)</c:f>
                <c:numCache>
                  <c:formatCode>General</c:formatCode>
                  <c:ptCount val="4"/>
                  <c:pt idx="0">
                    <c:v>1.1950800000000001E-5</c:v>
                  </c:pt>
                  <c:pt idx="1">
                    <c:v>1.0212499999999999E-5</c:v>
                  </c:pt>
                  <c:pt idx="2">
                    <c:v>8.4071900000000007E-6</c:v>
                  </c:pt>
                  <c:pt idx="3">
                    <c:v>6.1228199999999998E-6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(draft!$K$22,draft!$K$26,draft!$K$30,draft!$K$34)</c:f>
              <c:numCache>
                <c:formatCode>General</c:formatCode>
                <c:ptCount val="4"/>
                <c:pt idx="0">
                  <c:v>0.75909400000000005</c:v>
                </c:pt>
                <c:pt idx="1">
                  <c:v>0.68598300000000001</c:v>
                </c:pt>
                <c:pt idx="2">
                  <c:v>1.0528690000000001</c:v>
                </c:pt>
                <c:pt idx="3">
                  <c:v>1.5545500000000001</c:v>
                </c:pt>
              </c:numCache>
            </c:numRef>
          </c:xVal>
          <c:yVal>
            <c:numRef>
              <c:f>(draft!$H$22,draft!$H$26,draft!$H$30,draft!$H$34)</c:f>
              <c:numCache>
                <c:formatCode>0.00E+00</c:formatCode>
                <c:ptCount val="4"/>
                <c:pt idx="0">
                  <c:v>3.5148500000000001E-4</c:v>
                </c:pt>
                <c:pt idx="1">
                  <c:v>3.4416399999999999E-4</c:v>
                </c:pt>
                <c:pt idx="2">
                  <c:v>4.4956E-4</c:v>
                </c:pt>
                <c:pt idx="3">
                  <c:v>5.7741599999999998E-4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8A-3248-A4F3-198C67EC68E1}"/>
            </c:ext>
          </c:extLst>
        </c:ser>
        <c:ser>
          <c:idx val="1"/>
          <c:order val="1"/>
          <c:tx>
            <c:v>S18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0.60000000000000009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plus>
            <c:minus>
              <c:numRef>
                <c:f>(draft!$I$23,draft!$I$27,draft!$I$31,draft!$I$35)</c:f>
                <c:numCache>
                  <c:formatCode>General</c:formatCode>
                  <c:ptCount val="4"/>
                  <c:pt idx="0">
                    <c:v>1.26166E-5</c:v>
                  </c:pt>
                  <c:pt idx="1">
                    <c:v>1.07906E-5</c:v>
                  </c:pt>
                  <c:pt idx="2">
                    <c:v>8.9669399999999999E-6</c:v>
                  </c:pt>
                  <c:pt idx="3">
                    <c:v>6.6092399999999996E-6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(draft!$K$23,draft!$K$27,draft!$K$31,draft!$K$35)</c:f>
              <c:numCache>
                <c:formatCode>General</c:formatCode>
                <c:ptCount val="4"/>
                <c:pt idx="0">
                  <c:v>1.1711179999999999</c:v>
                </c:pt>
                <c:pt idx="1">
                  <c:v>1.0988370000000001</c:v>
                </c:pt>
                <c:pt idx="2">
                  <c:v>1.459387</c:v>
                </c:pt>
                <c:pt idx="3">
                  <c:v>1.9464199999999998</c:v>
                </c:pt>
              </c:numCache>
            </c:numRef>
          </c:xVal>
          <c:yVal>
            <c:numRef>
              <c:f>(draft!$H$23,draft!$H$27,draft!$H$31,draft!$H$35)</c:f>
              <c:numCache>
                <c:formatCode>0.00E+00</c:formatCode>
                <c:ptCount val="4"/>
                <c:pt idx="0">
                  <c:v>3.7227700000000001E-4</c:v>
                </c:pt>
                <c:pt idx="1">
                  <c:v>3.1826899999999998E-4</c:v>
                </c:pt>
                <c:pt idx="2">
                  <c:v>4.1102000000000001E-4</c:v>
                </c:pt>
                <c:pt idx="3">
                  <c:v>5.4995E-4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8A-3248-A4F3-198C67EC68E1}"/>
            </c:ext>
          </c:extLst>
        </c:ser>
        <c:ser>
          <c:idx val="2"/>
          <c:order val="2"/>
          <c:tx>
            <c:v>S12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draft!$I$10</c:f>
                <c:numCache>
                  <c:formatCode>General</c:formatCode>
                  <c:ptCount val="1"/>
                  <c:pt idx="0">
                    <c:v>1.10134E-5</c:v>
                  </c:pt>
                </c:numCache>
              </c:numRef>
            </c:plus>
            <c:minus>
              <c:numRef>
                <c:f>draft!$I$10</c:f>
                <c:numCache>
                  <c:formatCode>General</c:formatCode>
                  <c:ptCount val="1"/>
                  <c:pt idx="0">
                    <c:v>1.10134E-5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draft!$K$10</c:f>
              <c:numCache>
                <c:formatCode>General</c:formatCode>
                <c:ptCount val="1"/>
                <c:pt idx="0">
                  <c:v>0.46625730000000004</c:v>
                </c:pt>
              </c:numCache>
            </c:numRef>
          </c:xVal>
          <c:yVal>
            <c:numRef>
              <c:f>draft!$H$10</c:f>
              <c:numCache>
                <c:formatCode>0.00E+00</c:formatCode>
                <c:ptCount val="1"/>
                <c:pt idx="0">
                  <c:v>2.1442E-4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8A-3248-A4F3-198C67EC68E1}"/>
            </c:ext>
          </c:extLst>
        </c:ser>
        <c:ser>
          <c:idx val="3"/>
          <c:order val="3"/>
          <c:tx>
            <c:v>S18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draft!$I$11</c:f>
                <c:numCache>
                  <c:formatCode>General</c:formatCode>
                  <c:ptCount val="1"/>
                  <c:pt idx="0">
                    <c:v>1.10898E-5</c:v>
                  </c:pt>
                </c:numCache>
              </c:numRef>
            </c:plus>
            <c:minus>
              <c:numRef>
                <c:f>draft!$I$11</c:f>
                <c:numCache>
                  <c:formatCode>General</c:formatCode>
                  <c:ptCount val="1"/>
                  <c:pt idx="0">
                    <c:v>1.10898E-5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draft!$K$11</c:f>
              <c:numCache>
                <c:formatCode>General</c:formatCode>
                <c:ptCount val="1"/>
                <c:pt idx="0">
                  <c:v>0.53711229999999999</c:v>
                </c:pt>
              </c:numCache>
            </c:numRef>
          </c:xVal>
          <c:yVal>
            <c:numRef>
              <c:f>draft!$H$11</c:f>
              <c:numCache>
                <c:formatCode>0.00E+00</c:formatCode>
                <c:ptCount val="1"/>
                <c:pt idx="0">
                  <c:v>1.79765E-4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8A-3248-A4F3-198C67EC6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932239"/>
        <c:axId val="1522933887"/>
      </c:scatterChart>
      <c:valAx>
        <c:axId val="1522932239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</a:t>
                </a:r>
                <a:r>
                  <a:rPr lang="en-GB" baseline="0"/>
                  <a:t> Y-position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3887"/>
        <c:crosses val="autoZero"/>
        <c:crossBetween val="midCat"/>
      </c:valAx>
      <c:valAx>
        <c:axId val="152293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Slope</a:t>
                </a:r>
                <a:r>
                  <a:rPr lang="en-GB" baseline="0"/>
                  <a:t> [mrad/MeV]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(Sheet2!$C$15,Sheet2!$C$19,Sheet2!$C$23,Sheet2!$C$27)</c:f>
              <c:numCache>
                <c:formatCode>General</c:formatCode>
                <c:ptCount val="4"/>
                <c:pt idx="0">
                  <c:v>0.209094</c:v>
                </c:pt>
                <c:pt idx="1">
                  <c:v>0.13598299999999999</c:v>
                </c:pt>
                <c:pt idx="2">
                  <c:v>0.50286900000000001</c:v>
                </c:pt>
                <c:pt idx="3">
                  <c:v>1.0045500000000001</c:v>
                </c:pt>
              </c:numCache>
            </c:numRef>
          </c:xVal>
          <c:yVal>
            <c:numRef>
              <c:f>(Sheet2!$M$15,Sheet2!$M$19,Sheet2!$M$23,Sheet2!$M$27)</c:f>
              <c:numCache>
                <c:formatCode>0.00E+00</c:formatCode>
                <c:ptCount val="4"/>
                <c:pt idx="0">
                  <c:v>-2.29736E-4</c:v>
                </c:pt>
                <c:pt idx="1">
                  <c:v>-2.2071999999999999E-4</c:v>
                </c:pt>
                <c:pt idx="2">
                  <c:v>-2.2498799999999999E-4</c:v>
                </c:pt>
                <c:pt idx="3">
                  <c:v>-2.3043E-4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A-D34E-8C69-97D256C9BCB5}"/>
            </c:ext>
          </c:extLst>
        </c:ser>
        <c:ser>
          <c:idx val="1"/>
          <c:order val="1"/>
          <c:tx>
            <c:v>S18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(Sheet2!$C$16,Sheet2!$C$20,Sheet2!$C$24,Sheet2!$C$28)</c:f>
              <c:numCache>
                <c:formatCode>General</c:formatCode>
                <c:ptCount val="4"/>
                <c:pt idx="0">
                  <c:v>0.56111800000000001</c:v>
                </c:pt>
                <c:pt idx="1">
                  <c:v>0.48883700000000002</c:v>
                </c:pt>
                <c:pt idx="2">
                  <c:v>0.849387</c:v>
                </c:pt>
                <c:pt idx="3">
                  <c:v>1.3364199999999999</c:v>
                </c:pt>
              </c:numCache>
            </c:numRef>
          </c:xVal>
          <c:yVal>
            <c:numRef>
              <c:f>(Sheet2!$M$16,Sheet2!$M$20,Sheet2!$M$24,Sheet2!$M$28)</c:f>
              <c:numCache>
                <c:formatCode>0.00E+00</c:formatCode>
                <c:ptCount val="4"/>
                <c:pt idx="0">
                  <c:v>-3.9852200000000001E-6</c:v>
                </c:pt>
                <c:pt idx="1">
                  <c:v>1.5079700000000001E-5</c:v>
                </c:pt>
                <c:pt idx="2">
                  <c:v>-3.89144E-6</c:v>
                </c:pt>
                <c:pt idx="3">
                  <c:v>-3.6430999999999997E-5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6A-D34E-8C69-97D256C9BCB5}"/>
            </c:ext>
          </c:extLst>
        </c:ser>
        <c:ser>
          <c:idx val="2"/>
          <c:order val="2"/>
          <c:tx>
            <c:v>S12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Sheet2!$C$10</c:f>
              <c:numCache>
                <c:formatCode>General</c:formatCode>
                <c:ptCount val="1"/>
                <c:pt idx="0">
                  <c:v>-8.3742700000000003E-2</c:v>
                </c:pt>
              </c:numCache>
            </c:numRef>
          </c:xVal>
          <c:yVal>
            <c:numRef>
              <c:f>Sheet2!$M$10</c:f>
              <c:numCache>
                <c:formatCode>0.00E+00</c:formatCode>
                <c:ptCount val="1"/>
                <c:pt idx="0">
                  <c:v>2.8964900000000001E-5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6A-D34E-8C69-97D256C9BCB5}"/>
            </c:ext>
          </c:extLst>
        </c:ser>
        <c:ser>
          <c:idx val="3"/>
          <c:order val="3"/>
          <c:tx>
            <c:v>S18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Sheet2!$C$11</c:f>
              <c:numCache>
                <c:formatCode>General</c:formatCode>
                <c:ptCount val="1"/>
                <c:pt idx="0">
                  <c:v>-7.28877E-2</c:v>
                </c:pt>
              </c:numCache>
            </c:numRef>
          </c:xVal>
          <c:yVal>
            <c:numRef>
              <c:f>Sheet2!$M$11</c:f>
              <c:numCache>
                <c:formatCode>0.00E+00</c:formatCode>
                <c:ptCount val="1"/>
                <c:pt idx="0">
                  <c:v>-1.2571899999999999E-6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6A-D34E-8C69-97D256C9B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947871"/>
        <c:axId val="1003949519"/>
      </c:scatterChart>
      <c:valAx>
        <c:axId val="100394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</a:t>
                </a:r>
                <a:r>
                  <a:rPr lang="en-GB" baseline="0"/>
                  <a:t> y -position [mm]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949519"/>
        <c:crosses val="autoZero"/>
        <c:crossBetween val="midCat"/>
      </c:valAx>
      <c:valAx>
        <c:axId val="10039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&lt;y&gt;/p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94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S12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Sheet2!$H$10</c:f>
              <c:numCache>
                <c:formatCode>0.00E+00</c:formatCode>
                <c:ptCount val="1"/>
                <c:pt idx="0">
                  <c:v>2.0881400000000001E-4</c:v>
                </c:pt>
              </c:numCache>
            </c:numRef>
          </c:xVal>
          <c:yVal>
            <c:numRef>
              <c:f>Sheet2!$M$10</c:f>
              <c:numCache>
                <c:formatCode>0.00E+00</c:formatCode>
                <c:ptCount val="1"/>
                <c:pt idx="0">
                  <c:v>2.8964900000000001E-5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D7-4B4F-ACEC-BED701465664}"/>
            </c:ext>
          </c:extLst>
        </c:ser>
        <c:ser>
          <c:idx val="1"/>
          <c:order val="1"/>
          <c:tx>
            <c:v>S18 (sim)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Sheet2!$H$11</c:f>
              <c:numCache>
                <c:formatCode>0.00E+00</c:formatCode>
                <c:ptCount val="1"/>
                <c:pt idx="0">
                  <c:v>1.7224100000000001E-4</c:v>
                </c:pt>
              </c:numCache>
            </c:numRef>
          </c:xVal>
          <c:yVal>
            <c:numRef>
              <c:f>Sheet2!$M$11</c:f>
              <c:numCache>
                <c:formatCode>0.00E+00</c:formatCode>
                <c:ptCount val="1"/>
                <c:pt idx="0">
                  <c:v>-1.2571899999999999E-6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D7-4B4F-ACEC-BED701465664}"/>
            </c:ext>
          </c:extLst>
        </c:ser>
        <c:ser>
          <c:idx val="2"/>
          <c:order val="2"/>
          <c:tx>
            <c:v>S12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(Sheet2!$H$15,Sheet2!$H$19,Sheet2!$H$23,Sheet2!$H$27)</c:f>
              <c:numCache>
                <c:formatCode>0.00E+00</c:formatCode>
                <c:ptCount val="4"/>
                <c:pt idx="0">
                  <c:v>3.4707599999999998E-4</c:v>
                </c:pt>
                <c:pt idx="1">
                  <c:v>3.3789300000000003E-4</c:v>
                </c:pt>
                <c:pt idx="2">
                  <c:v>4.47384E-4</c:v>
                </c:pt>
                <c:pt idx="3">
                  <c:v>5.6858500000000003E-4</c:v>
                </c:pt>
              </c:numCache>
            </c:numRef>
          </c:xVal>
          <c:yVal>
            <c:numRef>
              <c:f>(Sheet2!$M$15,Sheet2!$M$19,Sheet2!$M$23,Sheet2!$M$27)</c:f>
              <c:numCache>
                <c:formatCode>0.00E+00</c:formatCode>
                <c:ptCount val="4"/>
                <c:pt idx="0">
                  <c:v>-2.29736E-4</c:v>
                </c:pt>
                <c:pt idx="1">
                  <c:v>-2.2071999999999999E-4</c:v>
                </c:pt>
                <c:pt idx="2">
                  <c:v>-2.2498799999999999E-4</c:v>
                </c:pt>
                <c:pt idx="3">
                  <c:v>-2.3043E-4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D7-4B4F-ACEC-BED701465664}"/>
            </c:ext>
          </c:extLst>
        </c:ser>
        <c:ser>
          <c:idx val="3"/>
          <c:order val="3"/>
          <c:tx>
            <c:v>S18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(Sheet2!$H$16,Sheet2!$H$20,Sheet2!$H$24,Sheet2!$H$28)</c:f>
              <c:numCache>
                <c:formatCode>0.00E+00</c:formatCode>
                <c:ptCount val="4"/>
                <c:pt idx="0">
                  <c:v>3.6436299999999998E-4</c:v>
                </c:pt>
                <c:pt idx="1">
                  <c:v>3.1423999999999997E-4</c:v>
                </c:pt>
                <c:pt idx="2">
                  <c:v>4.0067E-4</c:v>
                </c:pt>
                <c:pt idx="3">
                  <c:v>5.42341E-4</c:v>
                </c:pt>
              </c:numCache>
            </c:numRef>
          </c:xVal>
          <c:yVal>
            <c:numRef>
              <c:f>(Sheet2!$M$16,Sheet2!$M$20,Sheet2!$M$24,Sheet2!$M$28)</c:f>
              <c:numCache>
                <c:formatCode>0.00E+00</c:formatCode>
                <c:ptCount val="4"/>
                <c:pt idx="0">
                  <c:v>-3.9852200000000001E-6</c:v>
                </c:pt>
                <c:pt idx="1">
                  <c:v>1.5079700000000001E-5</c:v>
                </c:pt>
                <c:pt idx="2">
                  <c:v>-3.89144E-6</c:v>
                </c:pt>
                <c:pt idx="3">
                  <c:v>-3.6430999999999997E-5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D7-4B4F-ACEC-BED701465664}"/>
            </c:ext>
          </c:extLst>
        </c:ser>
        <c:ser>
          <c:idx val="4"/>
          <c:order val="4"/>
          <c:tx>
            <c:v>S12 (sim pred)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Sheet2!$H$10</c:f>
              <c:numCache>
                <c:formatCode>0.00E+00</c:formatCode>
                <c:ptCount val="1"/>
                <c:pt idx="0">
                  <c:v>2.0881400000000001E-4</c:v>
                </c:pt>
              </c:numCache>
            </c:numRef>
          </c:xVal>
          <c:yVal>
            <c:numRef>
              <c:f>Sheet2!$O$10</c:f>
              <c:numCache>
                <c:formatCode>0.00E+00</c:formatCode>
                <c:ptCount val="1"/>
                <c:pt idx="0">
                  <c:v>-2.2499999999999999E-4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D7-4B4F-ACEC-BED701465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078015"/>
        <c:axId val="914096895"/>
      </c:scatterChart>
      <c:valAx>
        <c:axId val="91407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&lt;theta_y&gt;/p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096895"/>
        <c:crosses val="autoZero"/>
        <c:crossBetween val="midCat"/>
      </c:valAx>
      <c:valAx>
        <c:axId val="91409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&lt;y&gt;/p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07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40439</xdr:colOff>
      <xdr:row>4</xdr:row>
      <xdr:rowOff>101822</xdr:rowOff>
    </xdr:from>
    <xdr:to>
      <xdr:col>29</xdr:col>
      <xdr:colOff>779825</xdr:colOff>
      <xdr:row>25</xdr:row>
      <xdr:rowOff>111404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ACB94-DF56-3849-B056-BDF38319D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374873</xdr:colOff>
      <xdr:row>4</xdr:row>
      <xdr:rowOff>95472</xdr:rowOff>
    </xdr:from>
    <xdr:to>
      <xdr:col>21</xdr:col>
      <xdr:colOff>334210</xdr:colOff>
      <xdr:row>25</xdr:row>
      <xdr:rowOff>111402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76FD6B-98E5-BC4A-8769-4D7CB71D3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787400</xdr:colOff>
      <xdr:row>4</xdr:row>
      <xdr:rowOff>101600</xdr:rowOff>
    </xdr:from>
    <xdr:to>
      <xdr:col>39</xdr:col>
      <xdr:colOff>205986</xdr:colOff>
      <xdr:row>25</xdr:row>
      <xdr:rowOff>111182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72742A-AA4C-7E4F-B34E-C0EE0DDE7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711200</xdr:colOff>
      <xdr:row>4</xdr:row>
      <xdr:rowOff>81280</xdr:rowOff>
    </xdr:from>
    <xdr:to>
      <xdr:col>48</xdr:col>
      <xdr:colOff>129786</xdr:colOff>
      <xdr:row>25</xdr:row>
      <xdr:rowOff>90862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74EF58-8B4D-9B4D-A489-40D1D06C5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127000</xdr:colOff>
      <xdr:row>1</xdr:row>
      <xdr:rowOff>177800</xdr:rowOff>
    </xdr:from>
    <xdr:to>
      <xdr:col>25</xdr:col>
      <xdr:colOff>40886</xdr:colOff>
      <xdr:row>22</xdr:row>
      <xdr:rowOff>187382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5AE5C4-E04F-1347-BD77-5D4A631F0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711200</xdr:colOff>
      <xdr:row>4</xdr:row>
      <xdr:rowOff>81280</xdr:rowOff>
    </xdr:from>
    <xdr:to>
      <xdr:col>48</xdr:col>
      <xdr:colOff>129786</xdr:colOff>
      <xdr:row>25</xdr:row>
      <xdr:rowOff>90862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725209-931D-A742-9B02-671B3825C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82550</xdr:colOff>
      <xdr:row>23</xdr:row>
      <xdr:rowOff>171450</xdr:rowOff>
    </xdr:from>
    <xdr:to>
      <xdr:col>24</xdr:col>
      <xdr:colOff>800100</xdr:colOff>
      <xdr:row>43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87D4E-DC53-F213-C991-382091F2C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57150</xdr:colOff>
      <xdr:row>45</xdr:row>
      <xdr:rowOff>107950</xdr:rowOff>
    </xdr:from>
    <xdr:to>
      <xdr:col>24</xdr:col>
      <xdr:colOff>812800</xdr:colOff>
      <xdr:row>68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B44674-4FA1-3188-9A0C-1EC5015B1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A98F-1614-604E-A175-5A6A497B9D88}">
  <dimension ref="A1:AK35"/>
  <sheetViews>
    <sheetView zoomScale="90" zoomScaleNormal="184" workbookViewId="0">
      <selection activeCell="I27" sqref="A1:XFD1048576"/>
    </sheetView>
  </sheetViews>
  <sheetFormatPr baseColWidth="10" defaultRowHeight="16" x14ac:dyDescent="0.2"/>
  <cols>
    <col min="1" max="1" width="11.5" bestFit="1" customWidth="1"/>
    <col min="2" max="2" width="13.83203125" customWidth="1"/>
    <col min="3" max="3" width="13" bestFit="1" customWidth="1"/>
    <col min="4" max="4" width="14.1640625" customWidth="1"/>
    <col min="11" max="11" width="14.33203125" customWidth="1"/>
    <col min="12" max="12" width="20.6640625" customWidth="1"/>
    <col min="24" max="24" width="15.1640625" bestFit="1" customWidth="1"/>
  </cols>
  <sheetData>
    <row r="1" spans="1:13" x14ac:dyDescent="0.2">
      <c r="A1" s="8" t="s">
        <v>16</v>
      </c>
      <c r="B1" s="8"/>
      <c r="C1" s="8"/>
      <c r="H1" s="7"/>
      <c r="I1" s="7"/>
      <c r="J1" s="7"/>
      <c r="K1" s="7"/>
      <c r="L1" s="7"/>
      <c r="M1" s="7"/>
    </row>
    <row r="2" spans="1:13" x14ac:dyDescent="0.2">
      <c r="A2" s="4"/>
      <c r="B2" s="4" t="s">
        <v>17</v>
      </c>
      <c r="C2" s="3" t="s">
        <v>18</v>
      </c>
      <c r="H2" s="2"/>
      <c r="I2" s="2"/>
      <c r="J2" s="2"/>
      <c r="K2" s="2"/>
      <c r="L2" s="2"/>
      <c r="M2" s="2"/>
    </row>
    <row r="3" spans="1:13" x14ac:dyDescent="0.2">
      <c r="A3" s="3" t="s">
        <v>1</v>
      </c>
      <c r="B3">
        <v>0</v>
      </c>
      <c r="C3">
        <v>0</v>
      </c>
    </row>
    <row r="4" spans="1:13" x14ac:dyDescent="0.2">
      <c r="A4" s="3" t="s">
        <v>2</v>
      </c>
      <c r="B4">
        <v>-0.55000000000000004</v>
      </c>
      <c r="C4">
        <v>-2.3500000000000001E-3</v>
      </c>
      <c r="K4" t="s">
        <v>14</v>
      </c>
    </row>
    <row r="5" spans="1:13" x14ac:dyDescent="0.2">
      <c r="A5" s="3" t="s">
        <v>3</v>
      </c>
      <c r="B5">
        <v>-0.61</v>
      </c>
      <c r="C5">
        <v>2.366E-2</v>
      </c>
    </row>
    <row r="7" spans="1:13" x14ac:dyDescent="0.2">
      <c r="C7" s="8" t="s">
        <v>13</v>
      </c>
      <c r="D7" s="8"/>
      <c r="E7" s="3"/>
      <c r="F7" s="8" t="s">
        <v>8</v>
      </c>
      <c r="G7" s="8"/>
      <c r="H7" s="8" t="s">
        <v>9</v>
      </c>
      <c r="I7" s="8"/>
      <c r="K7" s="8" t="s">
        <v>15</v>
      </c>
      <c r="L7" s="8"/>
    </row>
    <row r="8" spans="1:13" x14ac:dyDescent="0.2">
      <c r="A8" s="3" t="s">
        <v>0</v>
      </c>
      <c r="C8" s="3" t="s">
        <v>12</v>
      </c>
      <c r="D8" s="3" t="s">
        <v>11</v>
      </c>
      <c r="E8" s="3"/>
      <c r="F8" s="3" t="s">
        <v>10</v>
      </c>
      <c r="G8" s="3" t="s">
        <v>11</v>
      </c>
      <c r="H8" s="3" t="s">
        <v>12</v>
      </c>
      <c r="I8" s="3" t="s">
        <v>11</v>
      </c>
      <c r="K8" s="3" t="s">
        <v>12</v>
      </c>
      <c r="L8" s="3" t="s">
        <v>11</v>
      </c>
    </row>
    <row r="9" spans="1:13" x14ac:dyDescent="0.2">
      <c r="A9" s="3" t="s">
        <v>1</v>
      </c>
      <c r="C9">
        <v>-3.3219400000000003E-2</v>
      </c>
      <c r="D9">
        <v>6.2840200000000004E-3</v>
      </c>
      <c r="F9" s="1">
        <v>-0.31100699999999998</v>
      </c>
      <c r="G9" s="1">
        <v>2.9520899999999999E-2</v>
      </c>
      <c r="H9" s="1">
        <v>1.0901800000000001E-4</v>
      </c>
      <c r="I9" s="1">
        <v>1.5365600000000001E-5</v>
      </c>
      <c r="K9">
        <f>C9-B3</f>
        <v>-3.3219400000000003E-2</v>
      </c>
      <c r="L9">
        <f>D9</f>
        <v>6.2840200000000004E-3</v>
      </c>
    </row>
    <row r="10" spans="1:13" x14ac:dyDescent="0.2">
      <c r="A10" s="3" t="s">
        <v>2</v>
      </c>
      <c r="C10">
        <v>-8.3742700000000003E-2</v>
      </c>
      <c r="D10">
        <v>4.3798300000000004E-3</v>
      </c>
      <c r="F10" s="1">
        <v>-0.68062599999999995</v>
      </c>
      <c r="G10" s="1">
        <v>2.0791E-2</v>
      </c>
      <c r="H10" s="1">
        <v>2.1442E-4</v>
      </c>
      <c r="I10" s="1">
        <v>1.10134E-5</v>
      </c>
      <c r="K10">
        <f t="shared" ref="K10:K11" si="0">C10-B4</f>
        <v>0.46625730000000004</v>
      </c>
      <c r="L10">
        <f t="shared" ref="L10:L11" si="1">D10</f>
        <v>4.3798300000000004E-3</v>
      </c>
    </row>
    <row r="11" spans="1:13" x14ac:dyDescent="0.2">
      <c r="A11" s="3" t="s">
        <v>3</v>
      </c>
      <c r="C11">
        <v>-7.28877E-2</v>
      </c>
      <c r="D11">
        <v>4.4102999999999998E-3</v>
      </c>
      <c r="F11" s="1">
        <v>-0.54225800000000002</v>
      </c>
      <c r="G11" s="1">
        <v>2.0861899999999999E-2</v>
      </c>
      <c r="H11" s="1">
        <v>1.79765E-4</v>
      </c>
      <c r="I11" s="1">
        <v>1.10898E-5</v>
      </c>
      <c r="K11">
        <f t="shared" si="0"/>
        <v>0.53711229999999999</v>
      </c>
      <c r="L11">
        <f t="shared" si="1"/>
        <v>4.4102999999999998E-3</v>
      </c>
    </row>
    <row r="12" spans="1:13" x14ac:dyDescent="0.2">
      <c r="A12" s="3"/>
    </row>
    <row r="13" spans="1:13" x14ac:dyDescent="0.2">
      <c r="F13" s="3" t="s">
        <v>10</v>
      </c>
      <c r="G13" s="3" t="s">
        <v>11</v>
      </c>
      <c r="H13" s="3" t="s">
        <v>12</v>
      </c>
      <c r="I13" s="3" t="s">
        <v>11</v>
      </c>
    </row>
    <row r="14" spans="1:13" x14ac:dyDescent="0.2">
      <c r="A14" s="3" t="s">
        <v>19</v>
      </c>
      <c r="F14" s="1">
        <v>-0.71221400000000001</v>
      </c>
      <c r="G14" s="1">
        <v>3.1558099999999999E-2</v>
      </c>
      <c r="H14" s="1">
        <v>2.32807E-4</v>
      </c>
      <c r="I14" s="1">
        <v>1.6704699999999999E-5</v>
      </c>
      <c r="K14" s="1">
        <f>H14-H15</f>
        <v>-9.3530000000000035E-6</v>
      </c>
    </row>
    <row r="15" spans="1:13" x14ac:dyDescent="0.2">
      <c r="A15" s="3" t="s">
        <v>20</v>
      </c>
      <c r="F15" s="1">
        <v>-0.71954700000000005</v>
      </c>
      <c r="G15" s="1">
        <v>3.1765700000000001E-2</v>
      </c>
      <c r="H15" s="1">
        <v>2.4216E-4</v>
      </c>
      <c r="I15" s="1">
        <v>1.6830600000000001E-5</v>
      </c>
    </row>
    <row r="17" spans="1:37" x14ac:dyDescent="0.2">
      <c r="A17" s="3" t="s">
        <v>21</v>
      </c>
      <c r="F17" s="1">
        <v>-0.49091000000000001</v>
      </c>
      <c r="G17" s="1">
        <v>3.1994399999999999E-2</v>
      </c>
      <c r="H17" s="1">
        <v>1.50762E-4</v>
      </c>
      <c r="I17" s="1">
        <v>1.7008400000000001E-5</v>
      </c>
    </row>
    <row r="18" spans="1:37" x14ac:dyDescent="0.2">
      <c r="A18" s="3" t="s">
        <v>22</v>
      </c>
      <c r="F18" s="1">
        <v>-0.451322</v>
      </c>
      <c r="G18" s="1">
        <v>3.2408600000000003E-2</v>
      </c>
      <c r="H18" s="1">
        <v>1.3101599999999999E-4</v>
      </c>
      <c r="I18" s="1">
        <v>1.7266500000000001E-5</v>
      </c>
      <c r="K18" s="1">
        <f>H18-H17</f>
        <v>-1.9746000000000011E-5</v>
      </c>
    </row>
    <row r="21" spans="1:37" x14ac:dyDescent="0.2">
      <c r="A21" s="3" t="s">
        <v>4</v>
      </c>
      <c r="C21" s="3" t="s">
        <v>12</v>
      </c>
      <c r="D21" s="3" t="s">
        <v>11</v>
      </c>
      <c r="E21" s="3"/>
      <c r="F21" s="3" t="s">
        <v>12</v>
      </c>
      <c r="G21" s="3" t="s">
        <v>11</v>
      </c>
      <c r="H21" s="3" t="s">
        <v>12</v>
      </c>
      <c r="I21" s="3" t="s">
        <v>11</v>
      </c>
      <c r="K21" s="3" t="s">
        <v>12</v>
      </c>
      <c r="L21" s="3" t="s">
        <v>11</v>
      </c>
    </row>
    <row r="22" spans="1:37" x14ac:dyDescent="0.2">
      <c r="A22" s="3" t="s">
        <v>2</v>
      </c>
      <c r="C22">
        <v>0.209094</v>
      </c>
      <c r="D22">
        <v>5.0855500000000003E-3</v>
      </c>
      <c r="F22" s="1">
        <v>-0.76333399999999996</v>
      </c>
      <c r="G22" s="1">
        <v>2.23766E-2</v>
      </c>
      <c r="H22" s="1">
        <v>3.5148500000000001E-4</v>
      </c>
      <c r="I22" s="1">
        <v>1.1950800000000001E-5</v>
      </c>
      <c r="K22">
        <f>C22-$B$4</f>
        <v>0.75909400000000005</v>
      </c>
      <c r="L22">
        <f>D22</f>
        <v>5.0855500000000003E-3</v>
      </c>
    </row>
    <row r="23" spans="1:37" x14ac:dyDescent="0.2">
      <c r="A23" s="3" t="s">
        <v>3</v>
      </c>
      <c r="C23">
        <v>0.56111800000000001</v>
      </c>
      <c r="D23">
        <v>5.2846999999999998E-3</v>
      </c>
      <c r="F23" s="1">
        <v>-0.849773</v>
      </c>
      <c r="G23" s="1">
        <v>2.3337799999999999E-2</v>
      </c>
      <c r="H23" s="1">
        <v>3.7227700000000001E-4</v>
      </c>
      <c r="I23" s="1">
        <v>1.26166E-5</v>
      </c>
      <c r="K23">
        <f>C23-$B$5</f>
        <v>1.1711179999999999</v>
      </c>
      <c r="L23">
        <f>D23</f>
        <v>5.2846999999999998E-3</v>
      </c>
      <c r="AF23" s="5">
        <v>1.6899999999999999E-4</v>
      </c>
    </row>
    <row r="24" spans="1:37" x14ac:dyDescent="0.2">
      <c r="A24" s="3"/>
    </row>
    <row r="25" spans="1:37" x14ac:dyDescent="0.2">
      <c r="A25" s="3" t="s">
        <v>5</v>
      </c>
      <c r="C25" s="3" t="s">
        <v>12</v>
      </c>
      <c r="D25" s="3" t="s">
        <v>11</v>
      </c>
      <c r="E25" s="3"/>
      <c r="F25" s="3" t="s">
        <v>12</v>
      </c>
      <c r="G25" s="3" t="s">
        <v>11</v>
      </c>
      <c r="H25" s="3" t="s">
        <v>12</v>
      </c>
      <c r="I25" s="3" t="s">
        <v>11</v>
      </c>
      <c r="K25" s="3" t="s">
        <v>12</v>
      </c>
      <c r="L25" s="3" t="s">
        <v>11</v>
      </c>
    </row>
    <row r="26" spans="1:37" x14ac:dyDescent="0.2">
      <c r="A26" s="3" t="s">
        <v>2</v>
      </c>
      <c r="C26">
        <v>0.13598299999999999</v>
      </c>
      <c r="D26">
        <v>4.34557E-3</v>
      </c>
      <c r="F26" s="1">
        <v>-0.72674399999999995</v>
      </c>
      <c r="G26" s="1">
        <v>1.91086E-2</v>
      </c>
      <c r="H26" s="1">
        <v>3.4416399999999999E-4</v>
      </c>
      <c r="I26" s="1">
        <v>1.0212499999999999E-5</v>
      </c>
      <c r="K26">
        <f>C26-$B$4</f>
        <v>0.68598300000000001</v>
      </c>
      <c r="L26">
        <f>D26</f>
        <v>4.34557E-3</v>
      </c>
    </row>
    <row r="27" spans="1:37" x14ac:dyDescent="0.2">
      <c r="A27" s="3" t="s">
        <v>3</v>
      </c>
      <c r="C27">
        <v>0.48883700000000002</v>
      </c>
      <c r="D27">
        <v>4.5114700000000001E-3</v>
      </c>
      <c r="F27" s="1">
        <v>-0.72398099999999999</v>
      </c>
      <c r="G27" s="1">
        <v>1.9954400000000001E-2</v>
      </c>
      <c r="H27" s="1">
        <v>3.1826899999999998E-4</v>
      </c>
      <c r="I27" s="1">
        <v>1.07906E-5</v>
      </c>
      <c r="K27">
        <f>C27-$B$5</f>
        <v>1.0988370000000001</v>
      </c>
      <c r="L27">
        <f>D27</f>
        <v>4.5114700000000001E-3</v>
      </c>
    </row>
    <row r="28" spans="1:37" x14ac:dyDescent="0.2">
      <c r="A28" s="3"/>
      <c r="AG28" t="s">
        <v>26</v>
      </c>
      <c r="AJ28" t="s">
        <v>25</v>
      </c>
    </row>
    <row r="29" spans="1:37" x14ac:dyDescent="0.2">
      <c r="A29" s="3" t="s">
        <v>6</v>
      </c>
      <c r="C29" s="3" t="s">
        <v>12</v>
      </c>
      <c r="D29" s="3" t="s">
        <v>11</v>
      </c>
      <c r="E29" s="3"/>
      <c r="F29" s="3" t="s">
        <v>12</v>
      </c>
      <c r="G29" s="3" t="s">
        <v>11</v>
      </c>
      <c r="H29" s="3" t="s">
        <v>12</v>
      </c>
      <c r="I29" s="3" t="s">
        <v>11</v>
      </c>
      <c r="K29" s="3" t="s">
        <v>12</v>
      </c>
      <c r="L29" s="3" t="s">
        <v>11</v>
      </c>
      <c r="O29" t="s">
        <v>23</v>
      </c>
      <c r="S29" t="s">
        <v>24</v>
      </c>
      <c r="AG29" t="s">
        <v>2</v>
      </c>
      <c r="AH29" s="1">
        <v>2.9999999999999997E-4</v>
      </c>
      <c r="AJ29" t="s">
        <v>2</v>
      </c>
      <c r="AK29" s="1">
        <v>2.3082800000000001E-4</v>
      </c>
    </row>
    <row r="30" spans="1:37" x14ac:dyDescent="0.2">
      <c r="A30" s="3" t="s">
        <v>2</v>
      </c>
      <c r="C30">
        <v>0.50286900000000001</v>
      </c>
      <c r="D30">
        <v>3.51549E-3</v>
      </c>
      <c r="F30" s="1">
        <v>-0.98024999999999995</v>
      </c>
      <c r="G30" s="1">
        <v>1.56968E-2</v>
      </c>
      <c r="H30" s="1">
        <v>4.4956E-4</v>
      </c>
      <c r="I30" s="1">
        <v>8.4071900000000007E-6</v>
      </c>
      <c r="K30">
        <f>C30-$B$4</f>
        <v>1.0528690000000001</v>
      </c>
      <c r="L30">
        <f>D30</f>
        <v>3.51549E-3</v>
      </c>
      <c r="AG30" t="s">
        <v>3</v>
      </c>
      <c r="AH30" s="1">
        <v>2.0000000000000001E-4</v>
      </c>
      <c r="AJ30" t="s">
        <v>3</v>
      </c>
      <c r="AK30" s="1">
        <v>1.69273E-4</v>
      </c>
    </row>
    <row r="31" spans="1:37" x14ac:dyDescent="0.2">
      <c r="A31" s="3" t="s">
        <v>3</v>
      </c>
      <c r="C31">
        <v>0.849387</v>
      </c>
      <c r="D31">
        <v>3.67681E-3</v>
      </c>
      <c r="F31" s="1">
        <v>-0.949716</v>
      </c>
      <c r="G31" s="1">
        <v>1.6538600000000001E-2</v>
      </c>
      <c r="H31" s="1">
        <v>4.1102000000000001E-4</v>
      </c>
      <c r="I31" s="1">
        <v>8.9669399999999999E-6</v>
      </c>
      <c r="K31">
        <f>C31-$B$5</f>
        <v>1.459387</v>
      </c>
      <c r="L31">
        <f>D31</f>
        <v>3.67681E-3</v>
      </c>
      <c r="O31" t="s">
        <v>2</v>
      </c>
      <c r="P31" s="1">
        <v>9.0000000000000002E-6</v>
      </c>
      <c r="S31" t="s">
        <v>2</v>
      </c>
      <c r="T31" s="1">
        <v>2.9999999999999997E-4</v>
      </c>
    </row>
    <row r="32" spans="1:37" x14ac:dyDescent="0.2">
      <c r="A32" s="3"/>
      <c r="O32" t="s">
        <v>3</v>
      </c>
      <c r="P32" s="1">
        <v>2.0000000000000002E-5</v>
      </c>
      <c r="S32" t="s">
        <v>3</v>
      </c>
      <c r="T32" s="1">
        <v>2.9999999999999997E-4</v>
      </c>
    </row>
    <row r="33" spans="1:12" x14ac:dyDescent="0.2">
      <c r="A33" s="3" t="s">
        <v>7</v>
      </c>
      <c r="C33" s="3" t="s">
        <v>12</v>
      </c>
      <c r="D33" s="3" t="s">
        <v>11</v>
      </c>
      <c r="E33" s="3"/>
      <c r="F33" s="3" t="s">
        <v>12</v>
      </c>
      <c r="G33" s="3" t="s">
        <v>11</v>
      </c>
      <c r="H33" s="3" t="s">
        <v>12</v>
      </c>
      <c r="I33" s="3" t="s">
        <v>11</v>
      </c>
      <c r="K33" s="3" t="s">
        <v>12</v>
      </c>
      <c r="L33" s="3" t="s">
        <v>11</v>
      </c>
    </row>
    <row r="34" spans="1:12" x14ac:dyDescent="0.2">
      <c r="A34" s="3" t="s">
        <v>2</v>
      </c>
      <c r="C34">
        <v>1.0045500000000001</v>
      </c>
      <c r="D34">
        <v>2.5362599999999998E-3</v>
      </c>
      <c r="F34" s="1">
        <v>-1.3084199999999999</v>
      </c>
      <c r="G34" s="1">
        <v>1.1433E-2</v>
      </c>
      <c r="H34" s="1">
        <v>5.7741599999999998E-4</v>
      </c>
      <c r="I34" s="1">
        <v>6.1228199999999998E-6</v>
      </c>
      <c r="K34">
        <f>C34-$B$4</f>
        <v>1.5545500000000001</v>
      </c>
      <c r="L34">
        <f>D34</f>
        <v>2.5362599999999998E-3</v>
      </c>
    </row>
    <row r="35" spans="1:12" x14ac:dyDescent="0.2">
      <c r="A35" s="3" t="s">
        <v>3</v>
      </c>
      <c r="C35">
        <v>1.3364199999999999</v>
      </c>
      <c r="D35">
        <v>2.6863500000000001E-3</v>
      </c>
      <c r="F35" s="1">
        <v>-1.3044899999999999</v>
      </c>
      <c r="G35" s="1">
        <v>1.21797E-2</v>
      </c>
      <c r="H35" s="1">
        <v>5.4995E-4</v>
      </c>
      <c r="I35" s="1">
        <v>6.6092399999999996E-6</v>
      </c>
      <c r="K35">
        <f>C35-$B$5</f>
        <v>1.9464199999999998</v>
      </c>
      <c r="L35">
        <f>D35</f>
        <v>2.6863500000000001E-3</v>
      </c>
    </row>
  </sheetData>
  <mergeCells count="7">
    <mergeCell ref="H1:J1"/>
    <mergeCell ref="K1:M1"/>
    <mergeCell ref="C7:D7"/>
    <mergeCell ref="F7:G7"/>
    <mergeCell ref="H7:I7"/>
    <mergeCell ref="K7:L7"/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A23B-189A-6A4E-A212-A2FE6ABC3E43}">
  <dimension ref="A1:AK33"/>
  <sheetViews>
    <sheetView tabSelected="1" topLeftCell="K37" workbookViewId="0">
      <selection activeCell="D33" sqref="D33"/>
    </sheetView>
  </sheetViews>
  <sheetFormatPr baseColWidth="10" defaultRowHeight="16" x14ac:dyDescent="0.2"/>
  <cols>
    <col min="1" max="1" width="11.5" bestFit="1" customWidth="1"/>
    <col min="2" max="2" width="13.83203125" customWidth="1"/>
    <col min="3" max="3" width="13" bestFit="1" customWidth="1"/>
    <col min="4" max="4" width="14.1640625" customWidth="1"/>
    <col min="11" max="11" width="10.6640625" customWidth="1"/>
    <col min="12" max="12" width="13.83203125" customWidth="1"/>
    <col min="24" max="24" width="15.1640625" bestFit="1" customWidth="1"/>
  </cols>
  <sheetData>
    <row r="1" spans="1:15" x14ac:dyDescent="0.2">
      <c r="A1" s="8" t="s">
        <v>16</v>
      </c>
      <c r="B1" s="8"/>
      <c r="C1" s="8"/>
      <c r="H1" s="7"/>
      <c r="I1" s="7"/>
      <c r="J1" s="7"/>
      <c r="K1" s="7"/>
      <c r="L1" s="7"/>
      <c r="M1" s="7"/>
    </row>
    <row r="2" spans="1:15" x14ac:dyDescent="0.2">
      <c r="A2" s="4"/>
      <c r="B2" s="4" t="s">
        <v>17</v>
      </c>
      <c r="C2" s="3" t="s">
        <v>18</v>
      </c>
      <c r="H2" s="6"/>
      <c r="I2" s="6"/>
      <c r="J2" s="6"/>
      <c r="K2" s="6"/>
      <c r="L2" s="6"/>
      <c r="M2" s="6"/>
    </row>
    <row r="3" spans="1:15" x14ac:dyDescent="0.2">
      <c r="A3" s="3" t="s">
        <v>1</v>
      </c>
      <c r="B3">
        <v>0</v>
      </c>
      <c r="C3">
        <v>0</v>
      </c>
    </row>
    <row r="4" spans="1:15" x14ac:dyDescent="0.2">
      <c r="A4" s="3" t="s">
        <v>2</v>
      </c>
      <c r="B4">
        <v>-0.55000000000000004</v>
      </c>
      <c r="C4">
        <v>-2.3500000000000001E-3</v>
      </c>
    </row>
    <row r="5" spans="1:15" x14ac:dyDescent="0.2">
      <c r="A5" s="3" t="s">
        <v>3</v>
      </c>
      <c r="B5">
        <v>-0.61</v>
      </c>
      <c r="C5">
        <v>2.366E-2</v>
      </c>
    </row>
    <row r="6" spans="1:15" x14ac:dyDescent="0.2">
      <c r="F6" s="8" t="s">
        <v>28</v>
      </c>
      <c r="G6" s="8"/>
      <c r="H6" s="8"/>
      <c r="I6" s="8"/>
      <c r="K6" s="8" t="s">
        <v>29</v>
      </c>
      <c r="L6" s="8"/>
      <c r="M6" s="8"/>
      <c r="N6" s="8"/>
    </row>
    <row r="7" spans="1:15" x14ac:dyDescent="0.2">
      <c r="C7" s="8" t="s">
        <v>13</v>
      </c>
      <c r="D7" s="8"/>
      <c r="E7" s="3"/>
      <c r="F7" s="8" t="s">
        <v>8</v>
      </c>
      <c r="G7" s="8"/>
      <c r="H7" s="8" t="s">
        <v>9</v>
      </c>
      <c r="I7" s="8"/>
      <c r="K7" s="8" t="s">
        <v>8</v>
      </c>
      <c r="L7" s="8"/>
      <c r="M7" s="8" t="s">
        <v>9</v>
      </c>
      <c r="N7" s="8"/>
      <c r="O7" t="s">
        <v>30</v>
      </c>
    </row>
    <row r="8" spans="1:15" x14ac:dyDescent="0.2">
      <c r="A8" s="3" t="s">
        <v>27</v>
      </c>
      <c r="C8" s="3" t="s">
        <v>12</v>
      </c>
      <c r="D8" s="3" t="s">
        <v>11</v>
      </c>
      <c r="E8" s="3"/>
      <c r="F8" s="3" t="s">
        <v>10</v>
      </c>
      <c r="G8" s="3" t="s">
        <v>11</v>
      </c>
      <c r="H8" s="3" t="s">
        <v>12</v>
      </c>
      <c r="I8" s="3" t="s">
        <v>11</v>
      </c>
      <c r="K8" s="3" t="s">
        <v>10</v>
      </c>
      <c r="L8" s="3" t="s">
        <v>11</v>
      </c>
      <c r="M8" s="3" t="s">
        <v>12</v>
      </c>
      <c r="N8" s="3" t="s">
        <v>11</v>
      </c>
    </row>
    <row r="9" spans="1:15" x14ac:dyDescent="0.2">
      <c r="A9" s="3" t="s">
        <v>1</v>
      </c>
      <c r="C9">
        <v>-3.3219400000000003E-2</v>
      </c>
      <c r="D9">
        <v>6.2840200000000004E-3</v>
      </c>
      <c r="F9" s="1">
        <v>-0.31234800000000001</v>
      </c>
      <c r="G9" s="1">
        <v>2.8835199999999998E-2</v>
      </c>
      <c r="H9" s="1">
        <v>1.09734E-4</v>
      </c>
      <c r="I9" s="1">
        <v>1.48059E-5</v>
      </c>
      <c r="K9" s="1">
        <v>-0.107999</v>
      </c>
      <c r="L9" s="1">
        <v>2.8843199999999999E-2</v>
      </c>
      <c r="M9" s="1">
        <v>3.4499200000000003E-5</v>
      </c>
      <c r="N9" s="1">
        <v>1.7367099999999998E-5</v>
      </c>
    </row>
    <row r="10" spans="1:15" x14ac:dyDescent="0.2">
      <c r="A10" s="3" t="s">
        <v>2</v>
      </c>
      <c r="C10">
        <v>-8.3742700000000003E-2</v>
      </c>
      <c r="D10">
        <v>4.3798300000000004E-3</v>
      </c>
      <c r="F10" s="1">
        <v>-0.67136200000000001</v>
      </c>
      <c r="G10" s="1">
        <v>2.0287800000000002E-2</v>
      </c>
      <c r="H10" s="1">
        <v>2.0881400000000001E-4</v>
      </c>
      <c r="I10" s="1">
        <v>1.06021E-5</v>
      </c>
      <c r="K10" s="1">
        <v>-0.15442500000000001</v>
      </c>
      <c r="L10" s="1">
        <v>2.04307E-2</v>
      </c>
      <c r="M10" s="1">
        <v>2.8964900000000001E-5</v>
      </c>
      <c r="N10" s="1">
        <v>1.2479E-5</v>
      </c>
      <c r="O10" s="1">
        <v>-2.2499999999999999E-4</v>
      </c>
    </row>
    <row r="11" spans="1:15" x14ac:dyDescent="0.2">
      <c r="A11" s="3" t="s">
        <v>3</v>
      </c>
      <c r="C11">
        <v>-7.28877E-2</v>
      </c>
      <c r="D11">
        <v>4.4102999999999998E-3</v>
      </c>
      <c r="F11" s="1">
        <v>-0.53040100000000001</v>
      </c>
      <c r="G11" s="1">
        <v>2.0366599999999999E-2</v>
      </c>
      <c r="H11" s="1">
        <v>1.7224100000000001E-4</v>
      </c>
      <c r="I11" s="1">
        <v>1.06828E-5</v>
      </c>
      <c r="K11" s="1">
        <v>-9.2537300000000003E-2</v>
      </c>
      <c r="L11" s="1">
        <v>2.0575900000000001E-2</v>
      </c>
      <c r="M11" s="1">
        <v>-1.2571899999999999E-6</v>
      </c>
      <c r="N11" s="1">
        <v>1.26171E-5</v>
      </c>
    </row>
    <row r="12" spans="1:15" x14ac:dyDescent="0.2">
      <c r="A12" s="3"/>
    </row>
    <row r="14" spans="1:15" x14ac:dyDescent="0.2">
      <c r="A14" s="3" t="s">
        <v>4</v>
      </c>
      <c r="C14" s="3" t="s">
        <v>12</v>
      </c>
      <c r="D14" s="3" t="s">
        <v>11</v>
      </c>
      <c r="E14" s="3"/>
      <c r="F14" s="3" t="s">
        <v>12</v>
      </c>
      <c r="G14" s="3" t="s">
        <v>11</v>
      </c>
      <c r="H14" s="3" t="s">
        <v>12</v>
      </c>
      <c r="I14" s="3" t="s">
        <v>11</v>
      </c>
      <c r="K14" s="3" t="s">
        <v>12</v>
      </c>
      <c r="L14" s="3" t="s">
        <v>11</v>
      </c>
      <c r="M14" s="3" t="s">
        <v>12</v>
      </c>
      <c r="N14" s="3" t="s">
        <v>11</v>
      </c>
    </row>
    <row r="15" spans="1:15" x14ac:dyDescent="0.2">
      <c r="A15" s="3" t="s">
        <v>2</v>
      </c>
      <c r="C15">
        <v>0.209094</v>
      </c>
      <c r="D15">
        <v>5.0855500000000003E-3</v>
      </c>
      <c r="F15" s="1">
        <v>-0.82784199999999997</v>
      </c>
      <c r="G15" s="1">
        <v>2.19747E-2</v>
      </c>
      <c r="H15" s="1">
        <v>3.4707599999999998E-4</v>
      </c>
      <c r="I15" s="1">
        <v>1.16266E-5</v>
      </c>
      <c r="K15" s="1">
        <v>0.61697900000000006</v>
      </c>
      <c r="L15" s="1">
        <v>2.3643600000000001E-2</v>
      </c>
      <c r="M15" s="1">
        <v>-2.29736E-4</v>
      </c>
      <c r="N15" s="1">
        <v>1.4457999999999999E-5</v>
      </c>
    </row>
    <row r="16" spans="1:15" x14ac:dyDescent="0.2">
      <c r="A16" s="3" t="s">
        <v>3</v>
      </c>
      <c r="C16">
        <v>0.56111800000000001</v>
      </c>
      <c r="D16">
        <v>5.2846999999999998E-3</v>
      </c>
      <c r="F16" s="1">
        <v>-0.90767900000000001</v>
      </c>
      <c r="G16" s="1">
        <v>2.2895100000000002E-2</v>
      </c>
      <c r="H16" s="1">
        <v>3.6436299999999998E-4</v>
      </c>
      <c r="I16" s="1">
        <v>1.22573E-5</v>
      </c>
      <c r="K16" s="1">
        <v>0.59357499999999996</v>
      </c>
      <c r="L16" s="1">
        <v>2.48396E-2</v>
      </c>
      <c r="M16" s="1">
        <v>-3.9852200000000001E-6</v>
      </c>
      <c r="N16" s="1">
        <v>1.53652E-5</v>
      </c>
    </row>
    <row r="17" spans="1:37" x14ac:dyDescent="0.2">
      <c r="A17" s="3"/>
    </row>
    <row r="18" spans="1:37" x14ac:dyDescent="0.2">
      <c r="A18" s="3" t="s">
        <v>5</v>
      </c>
      <c r="C18" s="3" t="s">
        <v>12</v>
      </c>
      <c r="D18" s="3" t="s">
        <v>11</v>
      </c>
      <c r="E18" s="3"/>
      <c r="F18" s="3" t="s">
        <v>12</v>
      </c>
      <c r="G18" s="3" t="s">
        <v>11</v>
      </c>
      <c r="H18" s="3" t="s">
        <v>12</v>
      </c>
      <c r="I18" s="3" t="s">
        <v>11</v>
      </c>
      <c r="K18" s="3" t="s">
        <v>12</v>
      </c>
      <c r="L18" s="3" t="s">
        <v>11</v>
      </c>
      <c r="M18" s="3" t="s">
        <v>12</v>
      </c>
      <c r="N18" s="3" t="s">
        <v>11</v>
      </c>
    </row>
    <row r="19" spans="1:37" x14ac:dyDescent="0.2">
      <c r="A19" s="3" t="s">
        <v>2</v>
      </c>
      <c r="C19">
        <v>0.13598299999999999</v>
      </c>
      <c r="D19">
        <v>4.34557E-3</v>
      </c>
      <c r="F19" s="1">
        <v>-0.77984900000000001</v>
      </c>
      <c r="G19" s="1">
        <v>1.8749200000000001E-2</v>
      </c>
      <c r="H19" s="1">
        <v>3.3789300000000003E-4</v>
      </c>
      <c r="I19" s="1">
        <v>9.9236400000000004E-6</v>
      </c>
      <c r="K19" s="1">
        <v>0.53227899999999995</v>
      </c>
      <c r="L19" s="1">
        <v>2.02291E-2</v>
      </c>
      <c r="M19" s="1">
        <v>-2.2071999999999999E-4</v>
      </c>
      <c r="N19" s="1">
        <v>1.23717E-5</v>
      </c>
    </row>
    <row r="20" spans="1:37" x14ac:dyDescent="0.2">
      <c r="A20" s="3" t="s">
        <v>3</v>
      </c>
      <c r="C20">
        <v>0.48883700000000002</v>
      </c>
      <c r="D20">
        <v>4.5114700000000001E-3</v>
      </c>
      <c r="F20" s="1">
        <v>-0.77959599999999996</v>
      </c>
      <c r="G20" s="1">
        <v>1.9570199999999999E-2</v>
      </c>
      <c r="H20" s="1">
        <v>3.1423999999999997E-4</v>
      </c>
      <c r="I20" s="1">
        <v>1.0479000000000001E-5</v>
      </c>
      <c r="K20" s="1">
        <v>0.49562800000000001</v>
      </c>
      <c r="L20" s="1">
        <v>2.1231799999999999E-2</v>
      </c>
      <c r="M20" s="1">
        <v>1.5079700000000001E-5</v>
      </c>
      <c r="N20" s="1">
        <v>1.3137499999999999E-5</v>
      </c>
    </row>
    <row r="21" spans="1:37" x14ac:dyDescent="0.2">
      <c r="A21" s="3"/>
    </row>
    <row r="22" spans="1:37" x14ac:dyDescent="0.2">
      <c r="A22" s="3" t="s">
        <v>6</v>
      </c>
      <c r="C22" s="3" t="s">
        <v>12</v>
      </c>
      <c r="D22" s="3" t="s">
        <v>11</v>
      </c>
      <c r="E22" s="3"/>
      <c r="F22" s="3" t="s">
        <v>12</v>
      </c>
      <c r="G22" s="3" t="s">
        <v>11</v>
      </c>
      <c r="H22" s="3" t="s">
        <v>12</v>
      </c>
      <c r="I22" s="3" t="s">
        <v>11</v>
      </c>
      <c r="K22" s="3" t="s">
        <v>12</v>
      </c>
      <c r="L22" s="3" t="s">
        <v>11</v>
      </c>
      <c r="M22" s="3" t="s">
        <v>12</v>
      </c>
      <c r="N22" s="3" t="s">
        <v>11</v>
      </c>
    </row>
    <row r="23" spans="1:37" x14ac:dyDescent="0.2">
      <c r="A23" s="3" t="s">
        <v>2</v>
      </c>
      <c r="C23">
        <v>0.50286900000000001</v>
      </c>
      <c r="D23">
        <v>3.51549E-3</v>
      </c>
      <c r="F23" s="1">
        <v>-1.0835999999999999</v>
      </c>
      <c r="G23" s="1">
        <v>1.5404599999999999E-2</v>
      </c>
      <c r="H23" s="1">
        <v>4.47384E-4</v>
      </c>
      <c r="I23" s="1">
        <v>8.1722299999999999E-6</v>
      </c>
      <c r="K23" s="1">
        <v>0.90334199999999998</v>
      </c>
      <c r="L23" s="1">
        <v>1.6379399999999999E-2</v>
      </c>
      <c r="M23" s="1">
        <v>-2.2498799999999999E-4</v>
      </c>
      <c r="N23" s="1">
        <v>1.00376E-5</v>
      </c>
      <c r="AF23" s="5"/>
    </row>
    <row r="24" spans="1:37" x14ac:dyDescent="0.2">
      <c r="A24" s="3" t="s">
        <v>3</v>
      </c>
      <c r="C24">
        <v>0.849387</v>
      </c>
      <c r="D24">
        <v>3.67681E-3</v>
      </c>
      <c r="F24" s="1">
        <v>-1.03874</v>
      </c>
      <c r="G24" s="1">
        <v>1.6222199999999999E-2</v>
      </c>
      <c r="H24" s="1">
        <v>4.0067E-4</v>
      </c>
      <c r="I24" s="1">
        <v>8.71032E-6</v>
      </c>
      <c r="K24" s="1">
        <v>0.87679799999999997</v>
      </c>
      <c r="L24" s="1">
        <v>1.7340999999999999E-2</v>
      </c>
      <c r="M24" s="1">
        <v>-3.89144E-6</v>
      </c>
      <c r="N24" s="1">
        <v>1.0754899999999999E-5</v>
      </c>
    </row>
    <row r="25" spans="1:37" x14ac:dyDescent="0.2">
      <c r="A25" s="3"/>
    </row>
    <row r="26" spans="1:37" x14ac:dyDescent="0.2">
      <c r="A26" s="3" t="s">
        <v>7</v>
      </c>
      <c r="C26" s="3" t="s">
        <v>12</v>
      </c>
      <c r="D26" s="3" t="s">
        <v>11</v>
      </c>
      <c r="E26" s="3"/>
      <c r="F26" s="3" t="s">
        <v>12</v>
      </c>
      <c r="G26" s="3" t="s">
        <v>11</v>
      </c>
      <c r="H26" s="3" t="s">
        <v>12</v>
      </c>
      <c r="I26" s="3" t="s">
        <v>11</v>
      </c>
      <c r="K26" s="3" t="s">
        <v>12</v>
      </c>
      <c r="L26" s="3" t="s">
        <v>11</v>
      </c>
      <c r="M26" s="3" t="s">
        <v>12</v>
      </c>
      <c r="N26" s="3" t="s">
        <v>11</v>
      </c>
    </row>
    <row r="27" spans="1:37" x14ac:dyDescent="0.2">
      <c r="A27" s="3" t="s">
        <v>2</v>
      </c>
      <c r="C27">
        <v>1.0045500000000001</v>
      </c>
      <c r="D27">
        <v>2.5362599999999998E-3</v>
      </c>
      <c r="F27" s="1">
        <v>-1.46915</v>
      </c>
      <c r="G27" s="1">
        <v>1.1220600000000001E-2</v>
      </c>
      <c r="H27" s="1">
        <v>5.6858500000000003E-4</v>
      </c>
      <c r="I27" s="1">
        <v>5.9518499999999996E-6</v>
      </c>
      <c r="K27" s="1">
        <v>1.41052</v>
      </c>
      <c r="L27" s="1">
        <v>1.1829299999999999E-2</v>
      </c>
      <c r="M27" s="1">
        <v>-2.3043E-4</v>
      </c>
      <c r="N27" s="1">
        <v>7.2506200000000002E-6</v>
      </c>
    </row>
    <row r="28" spans="1:37" x14ac:dyDescent="0.2">
      <c r="A28" s="3" t="s">
        <v>3</v>
      </c>
      <c r="C28">
        <v>1.3364199999999999</v>
      </c>
      <c r="D28">
        <v>2.6863500000000001E-3</v>
      </c>
      <c r="F28" s="1">
        <v>-1.4641</v>
      </c>
      <c r="G28" s="1">
        <v>1.19449E-2</v>
      </c>
      <c r="H28" s="1">
        <v>5.42341E-4</v>
      </c>
      <c r="I28" s="1">
        <v>6.4184999999999996E-6</v>
      </c>
      <c r="K28" s="1">
        <v>1.4105799999999999</v>
      </c>
      <c r="L28" s="1">
        <v>1.26818E-2</v>
      </c>
      <c r="M28" s="1">
        <v>-3.6430999999999997E-5</v>
      </c>
      <c r="N28" s="1">
        <v>7.8719500000000001E-6</v>
      </c>
    </row>
    <row r="29" spans="1:37" x14ac:dyDescent="0.2">
      <c r="K29" s="3"/>
      <c r="L29" s="3"/>
      <c r="AH29" s="1"/>
      <c r="AK29" s="1"/>
    </row>
    <row r="30" spans="1:37" x14ac:dyDescent="0.2">
      <c r="AH30" s="1"/>
      <c r="AK30" s="1"/>
    </row>
    <row r="31" spans="1:37" x14ac:dyDescent="0.2">
      <c r="C31">
        <v>0.148258000612258</v>
      </c>
      <c r="P31" s="1"/>
      <c r="T31" s="1"/>
    </row>
    <row r="32" spans="1:37" x14ac:dyDescent="0.2">
      <c r="C32">
        <v>3.2718598842620801E-2</v>
      </c>
      <c r="P32" s="1"/>
      <c r="T32" s="1"/>
    </row>
    <row r="33" spans="3:12" x14ac:dyDescent="0.2">
      <c r="C33">
        <f>C31-C32</f>
        <v>0.1155394017696372</v>
      </c>
      <c r="K33" s="3"/>
      <c r="L33" s="3"/>
    </row>
  </sheetData>
  <mergeCells count="10">
    <mergeCell ref="A1:C1"/>
    <mergeCell ref="H1:J1"/>
    <mergeCell ref="K1:M1"/>
    <mergeCell ref="C7:D7"/>
    <mergeCell ref="F7:G7"/>
    <mergeCell ref="H7:I7"/>
    <mergeCell ref="K7:L7"/>
    <mergeCell ref="F6:I6"/>
    <mergeCell ref="K6:N6"/>
    <mergeCell ref="M7:N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2022-04-12T11:56:26Z</dcterms:created>
  <dcterms:modified xsi:type="dcterms:W3CDTF">2022-04-17T19:26:37Z</dcterms:modified>
</cp:coreProperties>
</file>