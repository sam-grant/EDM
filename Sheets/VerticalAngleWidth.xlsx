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13_ncr:40009_{675D63B0-E6F9-CE41-8422-9F7390E3878C}" xr6:coauthVersionLast="47" xr6:coauthVersionMax="47" xr10:uidLastSave="{00000000-0000-0000-0000-000000000000}"/>
  <bookViews>
    <workbookView xWindow="420" yWindow="840" windowWidth="26440" windowHeight="14940"/>
  </bookViews>
  <sheets>
    <sheet name="VerticalAngleWid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G6" i="1"/>
  <c r="F6" i="1"/>
  <c r="G4" i="1"/>
  <c r="G3" i="1"/>
  <c r="F4" i="1"/>
  <c r="F3" i="1"/>
</calcChain>
</file>

<file path=xl/sharedStrings.xml><?xml version="1.0" encoding="utf-8"?>
<sst xmlns="http://schemas.openxmlformats.org/spreadsheetml/2006/main" count="30" uniqueCount="18">
  <si>
    <t>Processing VerticalAngleWidth.C...</t>
  </si>
  <si>
    <t xml:space="preserve"> *** SIM *** </t>
  </si>
  <si>
    <t xml:space="preserve"> </t>
  </si>
  <si>
    <t>S0</t>
  </si>
  <si>
    <t>S12</t>
  </si>
  <si>
    <t>S18</t>
  </si>
  <si>
    <t>S12S18</t>
  </si>
  <si>
    <t>S0S12S18</t>
  </si>
  <si>
    <t xml:space="preserve"> *** DATA *** </t>
  </si>
  <si>
    <t>Run-1a</t>
  </si>
  <si>
    <t>Run-1b</t>
  </si>
  <si>
    <t>Run-1c</t>
  </si>
  <si>
    <t>Run-1d</t>
  </si>
  <si>
    <t>SE</t>
  </si>
  <si>
    <t>MEAN</t>
  </si>
  <si>
    <t>DATA</t>
  </si>
  <si>
    <t>SIM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</si>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</sst>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0.0000"/>
    <numFmt numFmtId="167" formatCode="0.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5" fontId="0" fillId="0" borderId="0" xfId="0" applyNumberFormat="1"/>
    <xf numFmtId="167" fontId="0" fillId="0" borderId="0" xfId="0" applyNumberFormat="1"/>
    <xf numFmtId="0" fontId="0" fillId="0" borderId="0" xfId="0" applyAlignment="1">
      <alignment horizontal="center"/>
    </xf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1"/>
  <sheetViews>
    <sheetView tabSelected="1" workbookViewId="0">
      <selection activeCell="I12" sqref="I12"/>
    </sheetView>
  </sheetViews>
  <sheetFormatPr baseColWidth="10" defaultRowHeight="16" x14ac:dyDescent="0.2"/>
  <cols>
    <col min="2" max="2" width="12.6640625" bestFit="1" customWidth="1"/>
    <col min="5" max="5" width="8" bestFit="1" customWidth="1"/>
  </cols>
  <sheetData>
    <row r="2" spans="1:7" x14ac:dyDescent="0.2">
      <c r="A2" t="s">
        <v>0</v>
      </c>
      <c r="D2" s="3"/>
      <c r="F2" s="3" t="s">
        <v>14</v>
      </c>
      <c r="G2" s="3" t="s">
        <v>13</v>
      </c>
    </row>
    <row r="3" spans="1:7" x14ac:dyDescent="0.2">
      <c r="E3" t="s">
        <v>16</v>
      </c>
      <c r="F3" s="2">
        <f>AVERAGE(B6:B9)</f>
        <v>15.937099999999999</v>
      </c>
      <c r="G3">
        <f>STDEV(B5:B9)/SQRT(COUNT(B5:B9))</f>
        <v>1.2214032913006469E-2</v>
      </c>
    </row>
    <row r="4" spans="1:7" x14ac:dyDescent="0.2">
      <c r="A4" t="s">
        <v>1</v>
      </c>
      <c r="C4" t="s">
        <v>2</v>
      </c>
      <c r="E4" t="s">
        <v>15</v>
      </c>
      <c r="F4" s="2">
        <f>AVERAGE(B14:B31)</f>
        <v>14.617724999999998</v>
      </c>
      <c r="G4">
        <f>STDEV(B14:B16,B19:B21,B24:B26,B29:B31)/SQRT(COUNT(B14:B16,B19:B21,B24:B26,B29:B31))</f>
        <v>1.2490488047577115E-2</v>
      </c>
    </row>
    <row r="5" spans="1:7" x14ac:dyDescent="0.2">
      <c r="A5" t="s">
        <v>3</v>
      </c>
      <c r="B5" s="2">
        <v>15.878299999999999</v>
      </c>
      <c r="C5">
        <v>5.9574700000000003E-3</v>
      </c>
    </row>
    <row r="6" spans="1:7" x14ac:dyDescent="0.2">
      <c r="A6" t="s">
        <v>4</v>
      </c>
      <c r="B6" s="2">
        <v>15.942500000000001</v>
      </c>
      <c r="C6">
        <v>5.11715E-3</v>
      </c>
      <c r="E6" t="s">
        <v>17</v>
      </c>
      <c r="F6">
        <f>F4/F3</f>
        <v>0.91721360849840927</v>
      </c>
      <c r="G6">
        <f>0.5 * SQRT(G3^2+G4^2)</f>
        <v>8.7349140188480411E-3</v>
      </c>
    </row>
    <row r="7" spans="1:7" x14ac:dyDescent="0.2">
      <c r="A7" t="s">
        <v>5</v>
      </c>
      <c r="B7" s="2">
        <v>15.940200000000001</v>
      </c>
      <c r="C7">
        <v>5.1563499999999996E-3</v>
      </c>
    </row>
    <row r="8" spans="1:7" x14ac:dyDescent="0.2">
      <c r="A8" t="s">
        <v>6</v>
      </c>
      <c r="B8" s="2">
        <v>15.9413</v>
      </c>
      <c r="C8">
        <v>3.6321499999999998E-3</v>
      </c>
    </row>
    <row r="9" spans="1:7" x14ac:dyDescent="0.2">
      <c r="A9" t="s">
        <v>7</v>
      </c>
      <c r="B9" s="2">
        <v>15.9244</v>
      </c>
      <c r="C9">
        <v>3.1012399999999999E-3</v>
      </c>
      <c r="F9" s="4">
        <f>(F3-F4)/F4</f>
        <v>9.0258573067970638E-2</v>
      </c>
    </row>
    <row r="11" spans="1:7" x14ac:dyDescent="0.2">
      <c r="A11" t="s">
        <v>8</v>
      </c>
    </row>
    <row r="13" spans="1:7" x14ac:dyDescent="0.2">
      <c r="A13" t="s">
        <v>9</v>
      </c>
    </row>
    <row r="14" spans="1:7" x14ac:dyDescent="0.2">
      <c r="A14" t="s">
        <v>4</v>
      </c>
      <c r="B14" s="1">
        <v>14.5572</v>
      </c>
      <c r="C14">
        <v>4.3003299999999998E-3</v>
      </c>
    </row>
    <row r="15" spans="1:7" x14ac:dyDescent="0.2">
      <c r="A15" t="s">
        <v>5</v>
      </c>
      <c r="B15" s="1">
        <v>14.626799999999999</v>
      </c>
      <c r="C15">
        <v>4.50535E-3</v>
      </c>
    </row>
    <row r="16" spans="1:7" x14ac:dyDescent="0.2">
      <c r="A16" t="s">
        <v>6</v>
      </c>
      <c r="B16" s="1">
        <v>14.5906</v>
      </c>
      <c r="C16">
        <v>3.1107800000000001E-3</v>
      </c>
    </row>
    <row r="17" spans="1:3" x14ac:dyDescent="0.2">
      <c r="B17" s="1"/>
    </row>
    <row r="18" spans="1:3" x14ac:dyDescent="0.2">
      <c r="A18" t="s">
        <v>10</v>
      </c>
      <c r="B18" s="1"/>
    </row>
    <row r="19" spans="1:3" x14ac:dyDescent="0.2">
      <c r="A19" t="s">
        <v>4</v>
      </c>
      <c r="B19" s="1">
        <v>14.583399999999999</v>
      </c>
      <c r="C19">
        <v>3.6689000000000001E-3</v>
      </c>
    </row>
    <row r="20" spans="1:3" x14ac:dyDescent="0.2">
      <c r="A20" t="s">
        <v>5</v>
      </c>
      <c r="B20" s="1">
        <v>14.679</v>
      </c>
      <c r="C20">
        <v>3.8520500000000001E-3</v>
      </c>
    </row>
    <row r="21" spans="1:3" x14ac:dyDescent="0.2">
      <c r="A21" t="s">
        <v>6</v>
      </c>
      <c r="B21" s="1">
        <v>14.629300000000001</v>
      </c>
      <c r="C21">
        <v>2.6567499999999998E-3</v>
      </c>
    </row>
    <row r="22" spans="1:3" x14ac:dyDescent="0.2">
      <c r="B22" s="1"/>
    </row>
    <row r="23" spans="1:3" x14ac:dyDescent="0.2">
      <c r="A23" t="s">
        <v>11</v>
      </c>
      <c r="B23" s="1"/>
    </row>
    <row r="24" spans="1:3" x14ac:dyDescent="0.2">
      <c r="A24" t="s">
        <v>4</v>
      </c>
      <c r="B24" s="1">
        <v>14.5616</v>
      </c>
      <c r="C24">
        <v>3.0656500000000001E-3</v>
      </c>
    </row>
    <row r="25" spans="1:3" x14ac:dyDescent="0.2">
      <c r="A25" t="s">
        <v>5</v>
      </c>
      <c r="B25" s="1">
        <v>14.6571</v>
      </c>
      <c r="C25">
        <v>3.24311E-3</v>
      </c>
    </row>
    <row r="26" spans="1:3" x14ac:dyDescent="0.2">
      <c r="A26" t="s">
        <v>6</v>
      </c>
      <c r="B26" s="1">
        <v>14.606999999999999</v>
      </c>
      <c r="C26">
        <v>2.2278900000000002E-3</v>
      </c>
    </row>
    <row r="27" spans="1:3" x14ac:dyDescent="0.2">
      <c r="B27" s="1"/>
    </row>
    <row r="28" spans="1:3" x14ac:dyDescent="0.2">
      <c r="A28" t="s">
        <v>12</v>
      </c>
      <c r="B28" s="1"/>
    </row>
    <row r="29" spans="1:3" x14ac:dyDescent="0.2">
      <c r="A29" t="s">
        <v>4</v>
      </c>
      <c r="B29" s="1">
        <v>14.592700000000001</v>
      </c>
      <c r="C29">
        <v>2.19426E-3</v>
      </c>
    </row>
    <row r="30" spans="1:3" x14ac:dyDescent="0.2">
      <c r="A30" t="s">
        <v>5</v>
      </c>
      <c r="B30" s="1">
        <v>14.6897</v>
      </c>
      <c r="C30">
        <v>2.3471099999999999E-3</v>
      </c>
    </row>
    <row r="31" spans="1:3" x14ac:dyDescent="0.2">
      <c r="A31" t="s">
        <v>6</v>
      </c>
      <c r="B31" s="1">
        <v>14.638299999999999</v>
      </c>
      <c r="C31">
        <v>1.60293E-3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VerticalAngleWidth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2022-02-02T16:12:13Z</dcterms:created>
  <dcterms:modified xsi:type="dcterms:W3CDTF">2022-02-03T11:35:23Z</dcterms:modified>
</cp:coreProperties>
</file>