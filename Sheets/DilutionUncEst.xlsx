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49858A72-B9B7-744E-B65E-273D33F52923}" xr6:coauthVersionLast="47" xr6:coauthVersionMax="47" xr10:uidLastSave="{00000000-0000-0000-0000-000000000000}"/>
  <bookViews>
    <workbookView xWindow="4340" yWindow="500" windowWidth="24460" windowHeight="17500" activeTab="2" xr2:uid="{7192B231-92BD-7546-A35A-9222B2E086F4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3" l="1"/>
  <c r="G5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2" i="2"/>
  <c r="A12" i="2"/>
  <c r="B13" i="2"/>
  <c r="C13" i="2"/>
  <c r="B12" i="2"/>
  <c r="D12" i="2"/>
  <c r="C3" i="2"/>
  <c r="A13" i="2" s="1"/>
  <c r="C2" i="2"/>
  <c r="C12" i="2" s="1"/>
  <c r="C4" i="1"/>
  <c r="B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C92" i="1"/>
  <c r="C93" i="1"/>
  <c r="C94" i="1"/>
  <c r="C95" i="1"/>
  <c r="C96" i="1"/>
  <c r="C97" i="1"/>
  <c r="C98" i="1"/>
  <c r="C99" i="1"/>
  <c r="C100" i="1"/>
  <c r="C101" i="1"/>
  <c r="C102" i="1"/>
  <c r="C10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D13" i="2" l="1"/>
</calcChain>
</file>

<file path=xl/sharedStrings.xml><?xml version="1.0" encoding="utf-8"?>
<sst xmlns="http://schemas.openxmlformats.org/spreadsheetml/2006/main" count="40" uniqueCount="20">
  <si>
    <t>Percentage error</t>
  </si>
  <si>
    <t>N</t>
  </si>
  <si>
    <t>dMu</t>
  </si>
  <si>
    <t>dMu (Run-1d)</t>
  </si>
  <si>
    <t>N [ecm]</t>
  </si>
  <si>
    <t>N [%]</t>
  </si>
  <si>
    <t>N (Run-1d)</t>
  </si>
  <si>
    <t>Run-1a</t>
  </si>
  <si>
    <t>Run-1b</t>
  </si>
  <si>
    <t>Run-1c</t>
  </si>
  <si>
    <t>Run-1d</t>
  </si>
  <si>
    <t>1/sqr</t>
  </si>
  <si>
    <t>1/sqrt(N)</t>
  </si>
  <si>
    <t>Sample 1</t>
  </si>
  <si>
    <t>Sample 2</t>
  </si>
  <si>
    <t>Scale factor</t>
  </si>
  <si>
    <t xml:space="preserve">Uncertainty </t>
  </si>
  <si>
    <t>End</t>
  </si>
  <si>
    <t>Sample 3</t>
  </si>
  <si>
    <t>Perc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</si>
</sst>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1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0" fillId="0" borderId="0" xfId="0" applyAlignment="1">
      <alignment horizontal="center"/>
    </xf>
    <xf numFmtId="1" fontId="0" fillId="0" borderId="0" xfId="0" applyNumberFormat="1"/>
    <xf numFmtId="0" fontId="2" fillId="0" borderId="0" xfId="0" applyFont="1"/>
    <xf numFmtId="11" fontId="2" fillId="0" borderId="0" xfId="0" applyNumberFormat="1" applyFont="1"/>
    <xf numFmtId="10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horizontal="center"/>
    </xf>
    <xf numFmtId="9" fontId="2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Sheet1!$D$4:$D$103</c:f>
              <c:numCache>
                <c:formatCode>0.00E+00</c:formatCode>
                <c:ptCount val="100"/>
                <c:pt idx="0">
                  <c:v>416993.28000000003</c:v>
                </c:pt>
                <c:pt idx="1">
                  <c:v>104248.32000000001</c:v>
                </c:pt>
                <c:pt idx="2">
                  <c:v>46332.58666666667</c:v>
                </c:pt>
                <c:pt idx="3">
                  <c:v>26062.080000000002</c:v>
                </c:pt>
                <c:pt idx="4">
                  <c:v>16679.731200000002</c:v>
                </c:pt>
                <c:pt idx="5">
                  <c:v>11583.146666666667</c:v>
                </c:pt>
                <c:pt idx="6">
                  <c:v>8510.0669387755097</c:v>
                </c:pt>
                <c:pt idx="7">
                  <c:v>6515.52</c:v>
                </c:pt>
                <c:pt idx="8">
                  <c:v>5148.0651851851853</c:v>
                </c:pt>
                <c:pt idx="9">
                  <c:v>4169.9328000000005</c:v>
                </c:pt>
                <c:pt idx="10">
                  <c:v>3446.2254545454548</c:v>
                </c:pt>
                <c:pt idx="11">
                  <c:v>2895.7866666666669</c:v>
                </c:pt>
                <c:pt idx="12">
                  <c:v>2467.4158579881655</c:v>
                </c:pt>
                <c:pt idx="13">
                  <c:v>2127.5167346938774</c:v>
                </c:pt>
                <c:pt idx="14">
                  <c:v>1853.3034666666667</c:v>
                </c:pt>
                <c:pt idx="15">
                  <c:v>1628.88</c:v>
                </c:pt>
                <c:pt idx="16">
                  <c:v>1442.8833217993081</c:v>
                </c:pt>
                <c:pt idx="17">
                  <c:v>1287.0162962962963</c:v>
                </c:pt>
                <c:pt idx="18">
                  <c:v>1155.1060387811635</c:v>
                </c:pt>
                <c:pt idx="19">
                  <c:v>1042.4832000000001</c:v>
                </c:pt>
                <c:pt idx="20">
                  <c:v>945.56299319727896</c:v>
                </c:pt>
                <c:pt idx="21">
                  <c:v>861.5563636363637</c:v>
                </c:pt>
                <c:pt idx="22">
                  <c:v>788.26706994328924</c:v>
                </c:pt>
                <c:pt idx="23">
                  <c:v>723.94666666666672</c:v>
                </c:pt>
                <c:pt idx="24">
                  <c:v>667.18924800000013</c:v>
                </c:pt>
                <c:pt idx="25">
                  <c:v>616.85396449704137</c:v>
                </c:pt>
                <c:pt idx="26">
                  <c:v>572.0072427983539</c:v>
                </c:pt>
                <c:pt idx="27">
                  <c:v>531.87918367346936</c:v>
                </c:pt>
                <c:pt idx="28">
                  <c:v>495.83029726516054</c:v>
                </c:pt>
                <c:pt idx="29">
                  <c:v>463.32586666666668</c:v>
                </c:pt>
                <c:pt idx="30">
                  <c:v>433.91600416233092</c:v>
                </c:pt>
                <c:pt idx="31">
                  <c:v>407.22</c:v>
                </c:pt>
                <c:pt idx="32">
                  <c:v>382.91393939393942</c:v>
                </c:pt>
                <c:pt idx="33">
                  <c:v>360.72083044982702</c:v>
                </c:pt>
                <c:pt idx="34">
                  <c:v>340.40267755102047</c:v>
                </c:pt>
                <c:pt idx="35">
                  <c:v>321.75407407407408</c:v>
                </c:pt>
                <c:pt idx="36">
                  <c:v>304.59699050401758</c:v>
                </c:pt>
                <c:pt idx="37">
                  <c:v>288.77650969529088</c:v>
                </c:pt>
                <c:pt idx="38">
                  <c:v>274.15731755424065</c:v>
                </c:pt>
                <c:pt idx="39">
                  <c:v>260.62080000000003</c:v>
                </c:pt>
                <c:pt idx="40">
                  <c:v>248.06262938726951</c:v>
                </c:pt>
                <c:pt idx="41">
                  <c:v>236.39074829931974</c:v>
                </c:pt>
                <c:pt idx="42">
                  <c:v>225.52367766360197</c:v>
                </c:pt>
                <c:pt idx="43">
                  <c:v>215.38909090909092</c:v>
                </c:pt>
                <c:pt idx="44">
                  <c:v>205.92260740740741</c:v>
                </c:pt>
                <c:pt idx="45">
                  <c:v>197.06676748582231</c:v>
                </c:pt>
                <c:pt idx="46">
                  <c:v>188.77015844273427</c:v>
                </c:pt>
                <c:pt idx="47">
                  <c:v>180.98666666666668</c:v>
                </c:pt>
                <c:pt idx="48">
                  <c:v>173.67483548521449</c:v>
                </c:pt>
                <c:pt idx="49">
                  <c:v>166.79731200000003</c:v>
                </c:pt>
                <c:pt idx="50">
                  <c:v>160.32036908881201</c:v>
                </c:pt>
                <c:pt idx="51">
                  <c:v>154.21349112426034</c:v>
                </c:pt>
                <c:pt idx="52">
                  <c:v>148.44901388394447</c:v>
                </c:pt>
                <c:pt idx="53">
                  <c:v>143.00181069958848</c:v>
                </c:pt>
                <c:pt idx="54">
                  <c:v>137.8490181818182</c:v>
                </c:pt>
                <c:pt idx="55">
                  <c:v>132.96979591836734</c:v>
                </c:pt>
                <c:pt idx="56">
                  <c:v>128.34511542012928</c:v>
                </c:pt>
                <c:pt idx="57">
                  <c:v>123.95757431629013</c:v>
                </c:pt>
                <c:pt idx="58">
                  <c:v>119.79123240448148</c:v>
                </c:pt>
                <c:pt idx="59">
                  <c:v>115.83146666666667</c:v>
                </c:pt>
                <c:pt idx="60">
                  <c:v>112.06484278419778</c:v>
                </c:pt>
                <c:pt idx="61">
                  <c:v>108.47900104058273</c:v>
                </c:pt>
                <c:pt idx="62">
                  <c:v>105.06255479969766</c:v>
                </c:pt>
                <c:pt idx="63">
                  <c:v>101.80500000000001</c:v>
                </c:pt>
                <c:pt idx="64">
                  <c:v>98.696634319526638</c:v>
                </c:pt>
                <c:pt idx="65">
                  <c:v>95.728484848484854</c:v>
                </c:pt>
                <c:pt idx="66">
                  <c:v>92.89224326130541</c:v>
                </c:pt>
                <c:pt idx="67">
                  <c:v>90.180207612456755</c:v>
                </c:pt>
                <c:pt idx="68">
                  <c:v>87.585229993698803</c:v>
                </c:pt>
                <c:pt idx="69">
                  <c:v>85.100669387755119</c:v>
                </c:pt>
                <c:pt idx="70">
                  <c:v>82.720349137075985</c:v>
                </c:pt>
                <c:pt idx="71">
                  <c:v>80.438518518518521</c:v>
                </c:pt>
                <c:pt idx="72">
                  <c:v>78.249817977106403</c:v>
                </c:pt>
                <c:pt idx="73">
                  <c:v>76.149247626004396</c:v>
                </c:pt>
                <c:pt idx="74">
                  <c:v>74.132138666666677</c:v>
                </c:pt>
                <c:pt idx="75">
                  <c:v>72.194127423822721</c:v>
                </c:pt>
                <c:pt idx="76">
                  <c:v>70.331131725417436</c:v>
                </c:pt>
                <c:pt idx="77">
                  <c:v>68.539329388560162</c:v>
                </c:pt>
                <c:pt idx="78">
                  <c:v>66.815138599583406</c:v>
                </c:pt>
                <c:pt idx="79">
                  <c:v>65.155200000000008</c:v>
                </c:pt>
                <c:pt idx="80">
                  <c:v>63.556360310928213</c:v>
                </c:pt>
                <c:pt idx="81">
                  <c:v>62.015657346817378</c:v>
                </c:pt>
                <c:pt idx="82">
                  <c:v>60.530306285382487</c:v>
                </c:pt>
                <c:pt idx="83">
                  <c:v>59.097687074829935</c:v>
                </c:pt>
                <c:pt idx="84">
                  <c:v>57.715332871972329</c:v>
                </c:pt>
                <c:pt idx="85">
                  <c:v>56.380919415900493</c:v>
                </c:pt>
                <c:pt idx="86">
                  <c:v>55.092255251684506</c:v>
                </c:pt>
                <c:pt idx="87">
                  <c:v>53.847272727272731</c:v>
                </c:pt>
                <c:pt idx="88">
                  <c:v>52.644019694483021</c:v>
                </c:pt>
                <c:pt idx="89">
                  <c:v>51.480651851851853</c:v>
                </c:pt>
                <c:pt idx="90">
                  <c:v>50.35542567322787</c:v>
                </c:pt>
                <c:pt idx="91">
                  <c:v>49.266691871455578</c:v>
                </c:pt>
                <c:pt idx="92">
                  <c:v>48.212889351370094</c:v>
                </c:pt>
                <c:pt idx="93">
                  <c:v>47.192539610683568</c:v>
                </c:pt>
                <c:pt idx="94">
                  <c:v>46.20424155124654</c:v>
                </c:pt>
                <c:pt idx="95">
                  <c:v>45.24666666666667</c:v>
                </c:pt>
                <c:pt idx="96">
                  <c:v>44.31855457540653</c:v>
                </c:pt>
                <c:pt idx="97">
                  <c:v>43.418708871303622</c:v>
                </c:pt>
                <c:pt idx="98">
                  <c:v>42.545993265993268</c:v>
                </c:pt>
                <c:pt idx="99">
                  <c:v>41.699328000000008</c:v>
                </c:pt>
              </c:numCache>
            </c:numRef>
          </c:xVal>
          <c:yVal>
            <c:numRef>
              <c:f>Sheet1!$C$4:$C$103</c:f>
              <c:numCache>
                <c:formatCode>0.00E+00</c:formatCode>
                <c:ptCount val="100"/>
                <c:pt idx="0">
                  <c:v>1.7200000000000002E-20</c:v>
                </c:pt>
                <c:pt idx="1">
                  <c:v>3.4400000000000004E-20</c:v>
                </c:pt>
                <c:pt idx="2">
                  <c:v>5.1600000000000004E-20</c:v>
                </c:pt>
                <c:pt idx="3">
                  <c:v>6.8800000000000009E-20</c:v>
                </c:pt>
                <c:pt idx="4">
                  <c:v>8.6000000000000002E-20</c:v>
                </c:pt>
                <c:pt idx="5">
                  <c:v>1.0320000000000001E-19</c:v>
                </c:pt>
                <c:pt idx="6">
                  <c:v>1.204E-19</c:v>
                </c:pt>
                <c:pt idx="7">
                  <c:v>1.3760000000000002E-19</c:v>
                </c:pt>
                <c:pt idx="8">
                  <c:v>1.5480000000000001E-19</c:v>
                </c:pt>
                <c:pt idx="9">
                  <c:v>1.72E-19</c:v>
                </c:pt>
                <c:pt idx="10">
                  <c:v>1.8920000000000002E-19</c:v>
                </c:pt>
                <c:pt idx="11">
                  <c:v>2.0640000000000001E-19</c:v>
                </c:pt>
                <c:pt idx="12">
                  <c:v>2.2360000000000001E-19</c:v>
                </c:pt>
                <c:pt idx="13">
                  <c:v>2.408E-19</c:v>
                </c:pt>
                <c:pt idx="14">
                  <c:v>2.5800000000000004E-19</c:v>
                </c:pt>
                <c:pt idx="15">
                  <c:v>2.7520000000000004E-19</c:v>
                </c:pt>
                <c:pt idx="16">
                  <c:v>2.9240000000000003E-19</c:v>
                </c:pt>
                <c:pt idx="17">
                  <c:v>3.0960000000000002E-19</c:v>
                </c:pt>
                <c:pt idx="18">
                  <c:v>3.2680000000000002E-19</c:v>
                </c:pt>
                <c:pt idx="19">
                  <c:v>3.4400000000000001E-19</c:v>
                </c:pt>
                <c:pt idx="20">
                  <c:v>3.6120000000000005E-19</c:v>
                </c:pt>
                <c:pt idx="21">
                  <c:v>3.7840000000000004E-19</c:v>
                </c:pt>
                <c:pt idx="22">
                  <c:v>3.9560000000000004E-19</c:v>
                </c:pt>
                <c:pt idx="23">
                  <c:v>4.1280000000000003E-19</c:v>
                </c:pt>
                <c:pt idx="24">
                  <c:v>4.3000000000000002E-19</c:v>
                </c:pt>
                <c:pt idx="25">
                  <c:v>4.4720000000000002E-19</c:v>
                </c:pt>
                <c:pt idx="26">
                  <c:v>4.6440000000000001E-19</c:v>
                </c:pt>
                <c:pt idx="27">
                  <c:v>4.816E-19</c:v>
                </c:pt>
                <c:pt idx="28">
                  <c:v>4.988E-19</c:v>
                </c:pt>
                <c:pt idx="29">
                  <c:v>5.1600000000000009E-19</c:v>
                </c:pt>
                <c:pt idx="30">
                  <c:v>5.3320000000000008E-19</c:v>
                </c:pt>
                <c:pt idx="31">
                  <c:v>5.5040000000000007E-19</c:v>
                </c:pt>
                <c:pt idx="32">
                  <c:v>5.6760000000000007E-19</c:v>
                </c:pt>
                <c:pt idx="33">
                  <c:v>5.8480000000000006E-19</c:v>
                </c:pt>
                <c:pt idx="34">
                  <c:v>6.0199999999999996E-19</c:v>
                </c:pt>
                <c:pt idx="35">
                  <c:v>6.1920000000000004E-19</c:v>
                </c:pt>
                <c:pt idx="36">
                  <c:v>6.3640000000000013E-19</c:v>
                </c:pt>
                <c:pt idx="37">
                  <c:v>6.5360000000000003E-19</c:v>
                </c:pt>
                <c:pt idx="38">
                  <c:v>6.7080000000000002E-19</c:v>
                </c:pt>
                <c:pt idx="39">
                  <c:v>6.8800000000000002E-19</c:v>
                </c:pt>
                <c:pt idx="40">
                  <c:v>7.0520000000000011E-19</c:v>
                </c:pt>
                <c:pt idx="41">
                  <c:v>7.224000000000001E-19</c:v>
                </c:pt>
                <c:pt idx="42">
                  <c:v>7.396E-19</c:v>
                </c:pt>
                <c:pt idx="43">
                  <c:v>7.5680000000000009E-19</c:v>
                </c:pt>
                <c:pt idx="44">
                  <c:v>7.7400000000000008E-19</c:v>
                </c:pt>
                <c:pt idx="45">
                  <c:v>7.9120000000000007E-19</c:v>
                </c:pt>
                <c:pt idx="46">
                  <c:v>8.0839999999999997E-19</c:v>
                </c:pt>
                <c:pt idx="47">
                  <c:v>8.2560000000000006E-19</c:v>
                </c:pt>
                <c:pt idx="48">
                  <c:v>8.4280000000000015E-19</c:v>
                </c:pt>
                <c:pt idx="49">
                  <c:v>8.6000000000000005E-19</c:v>
                </c:pt>
                <c:pt idx="50">
                  <c:v>8.7720000000000004E-19</c:v>
                </c:pt>
                <c:pt idx="51">
                  <c:v>8.9440000000000003E-19</c:v>
                </c:pt>
                <c:pt idx="52">
                  <c:v>9.1160000000000022E-19</c:v>
                </c:pt>
                <c:pt idx="53">
                  <c:v>9.2880000000000002E-19</c:v>
                </c:pt>
                <c:pt idx="54">
                  <c:v>9.4600000000000001E-19</c:v>
                </c:pt>
                <c:pt idx="55">
                  <c:v>9.6320000000000001E-19</c:v>
                </c:pt>
                <c:pt idx="56">
                  <c:v>9.8040000000000019E-19</c:v>
                </c:pt>
                <c:pt idx="57">
                  <c:v>9.9759999999999999E-19</c:v>
                </c:pt>
                <c:pt idx="58">
                  <c:v>1.0148E-18</c:v>
                </c:pt>
                <c:pt idx="59">
                  <c:v>1.0320000000000002E-18</c:v>
                </c:pt>
                <c:pt idx="60">
                  <c:v>1.0492000000000002E-18</c:v>
                </c:pt>
                <c:pt idx="61">
                  <c:v>1.0664000000000002E-18</c:v>
                </c:pt>
                <c:pt idx="62">
                  <c:v>1.0836E-18</c:v>
                </c:pt>
                <c:pt idx="63">
                  <c:v>1.1008000000000001E-18</c:v>
                </c:pt>
                <c:pt idx="64">
                  <c:v>1.1180000000000001E-18</c:v>
                </c:pt>
                <c:pt idx="65">
                  <c:v>1.1352000000000001E-18</c:v>
                </c:pt>
                <c:pt idx="66">
                  <c:v>1.1523999999999999E-18</c:v>
                </c:pt>
                <c:pt idx="67">
                  <c:v>1.1696000000000001E-18</c:v>
                </c:pt>
                <c:pt idx="68">
                  <c:v>1.1868000000000001E-18</c:v>
                </c:pt>
                <c:pt idx="69">
                  <c:v>1.2039999999999999E-18</c:v>
                </c:pt>
                <c:pt idx="70">
                  <c:v>1.2212000000000001E-18</c:v>
                </c:pt>
                <c:pt idx="71">
                  <c:v>1.2384000000000001E-18</c:v>
                </c:pt>
                <c:pt idx="72">
                  <c:v>1.2556000000000001E-18</c:v>
                </c:pt>
                <c:pt idx="73">
                  <c:v>1.2728000000000003E-18</c:v>
                </c:pt>
                <c:pt idx="74">
                  <c:v>1.2900000000000001E-18</c:v>
                </c:pt>
                <c:pt idx="75">
                  <c:v>1.3072000000000001E-18</c:v>
                </c:pt>
                <c:pt idx="76">
                  <c:v>1.3244000000000002E-18</c:v>
                </c:pt>
                <c:pt idx="77">
                  <c:v>1.3416E-18</c:v>
                </c:pt>
                <c:pt idx="78">
                  <c:v>1.3588E-18</c:v>
                </c:pt>
                <c:pt idx="79">
                  <c:v>1.376E-18</c:v>
                </c:pt>
                <c:pt idx="80">
                  <c:v>1.3932000000000002E-18</c:v>
                </c:pt>
                <c:pt idx="81">
                  <c:v>1.4104000000000002E-18</c:v>
                </c:pt>
                <c:pt idx="82">
                  <c:v>1.4276E-18</c:v>
                </c:pt>
                <c:pt idx="83">
                  <c:v>1.4448000000000002E-18</c:v>
                </c:pt>
                <c:pt idx="84">
                  <c:v>1.4620000000000002E-18</c:v>
                </c:pt>
                <c:pt idx="85">
                  <c:v>1.4792E-18</c:v>
                </c:pt>
                <c:pt idx="86">
                  <c:v>1.4964E-18</c:v>
                </c:pt>
                <c:pt idx="87">
                  <c:v>1.5136000000000002E-18</c:v>
                </c:pt>
                <c:pt idx="88">
                  <c:v>1.5308000000000002E-18</c:v>
                </c:pt>
                <c:pt idx="89">
                  <c:v>1.5480000000000002E-18</c:v>
                </c:pt>
                <c:pt idx="90">
                  <c:v>1.5652E-18</c:v>
                </c:pt>
                <c:pt idx="91">
                  <c:v>1.5824000000000001E-18</c:v>
                </c:pt>
                <c:pt idx="92">
                  <c:v>1.5996000000000001E-18</c:v>
                </c:pt>
                <c:pt idx="93">
                  <c:v>1.6167999999999999E-18</c:v>
                </c:pt>
                <c:pt idx="94">
                  <c:v>1.6340000000000001E-18</c:v>
                </c:pt>
                <c:pt idx="95">
                  <c:v>1.6512000000000001E-18</c:v>
                </c:pt>
                <c:pt idx="96">
                  <c:v>1.6684000000000001E-18</c:v>
                </c:pt>
                <c:pt idx="97">
                  <c:v>1.6856000000000003E-18</c:v>
                </c:pt>
                <c:pt idx="98">
                  <c:v>1.7028000000000001E-18</c:v>
                </c:pt>
                <c:pt idx="99">
                  <c:v>1.7200000000000001E-18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F2-9A49-9DA4-B7AF1B9B1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692735"/>
        <c:axId val="1362225119"/>
      </c:scatterChart>
      <c:valAx>
        <c:axId val="136569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225119"/>
        <c:crosses val="autoZero"/>
        <c:crossBetween val="midCat"/>
      </c:valAx>
      <c:valAx>
        <c:axId val="136222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69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755650</xdr:colOff>
      <xdr:row>2</xdr:row>
      <xdr:rowOff>196850</xdr:rowOff>
    </xdr:from>
    <xdr:to>
      <xdr:col>18</xdr:col>
      <xdr:colOff>177800</xdr:colOff>
      <xdr:row>30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81D19D-2AAD-1849-A424-201783B90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CE2A-2D7D-5042-80CB-3B846A55AE3A}">
  <dimension ref="A1:D103"/>
  <sheetViews>
    <sheetView workbookViewId="0">
      <selection activeCell="D4" sqref="D4"/>
    </sheetView>
  </sheetViews>
  <sheetFormatPr baseColWidth="10" defaultRowHeight="16" x14ac:dyDescent="0.2"/>
  <cols>
    <col min="1" max="1" width="14.83203125" bestFit="1" customWidth="1"/>
    <col min="2" max="2" width="12.1640625" bestFit="1" customWidth="1"/>
    <col min="3" max="4" width="8.6640625" bestFit="1" customWidth="1"/>
  </cols>
  <sheetData>
    <row r="1" spans="1:4" x14ac:dyDescent="0.2">
      <c r="A1" t="s">
        <v>3</v>
      </c>
      <c r="B1" s="1">
        <v>1.7200000000000001E-18</v>
      </c>
    </row>
    <row r="2" spans="1:4" x14ac:dyDescent="0.2">
      <c r="A2" t="s">
        <v>6</v>
      </c>
      <c r="B2">
        <v>41699328</v>
      </c>
    </row>
    <row r="3" spans="1:4" x14ac:dyDescent="0.2">
      <c r="A3" t="s">
        <v>0</v>
      </c>
      <c r="B3" t="s">
        <v>5</v>
      </c>
      <c r="C3" t="s">
        <v>2</v>
      </c>
      <c r="D3" t="s">
        <v>4</v>
      </c>
    </row>
    <row r="4" spans="1:4" x14ac:dyDescent="0.2">
      <c r="A4">
        <v>1</v>
      </c>
      <c r="B4">
        <f>1/(A4^2)</f>
        <v>1</v>
      </c>
      <c r="C4" s="1">
        <f>$B$1*A4*0.01</f>
        <v>1.7200000000000002E-20</v>
      </c>
      <c r="D4" s="1">
        <f>B4*0.01*$B$2</f>
        <v>416993.28000000003</v>
      </c>
    </row>
    <row r="5" spans="1:4" x14ac:dyDescent="0.2">
      <c r="A5">
        <v>2</v>
      </c>
      <c r="B5">
        <f t="shared" ref="B5:B68" si="0">1/(A5^2)</f>
        <v>0.25</v>
      </c>
      <c r="C5" s="1">
        <f t="shared" ref="C5:C68" si="1">$B$1*A5*0.01</f>
        <v>3.4400000000000004E-20</v>
      </c>
      <c r="D5" s="1">
        <f t="shared" ref="D5:D68" si="2">B5*0.01*$B$2</f>
        <v>104248.32000000001</v>
      </c>
    </row>
    <row r="6" spans="1:4" x14ac:dyDescent="0.2">
      <c r="A6">
        <v>3</v>
      </c>
      <c r="B6">
        <f t="shared" si="0"/>
        <v>0.1111111111111111</v>
      </c>
      <c r="C6" s="1">
        <f t="shared" si="1"/>
        <v>5.1600000000000004E-20</v>
      </c>
      <c r="D6" s="1">
        <f t="shared" si="2"/>
        <v>46332.58666666667</v>
      </c>
    </row>
    <row r="7" spans="1:4" x14ac:dyDescent="0.2">
      <c r="A7">
        <v>4</v>
      </c>
      <c r="B7">
        <f t="shared" si="0"/>
        <v>6.25E-2</v>
      </c>
      <c r="C7" s="1">
        <f t="shared" si="1"/>
        <v>6.8800000000000009E-20</v>
      </c>
      <c r="D7" s="1">
        <f t="shared" si="2"/>
        <v>26062.080000000002</v>
      </c>
    </row>
    <row r="8" spans="1:4" x14ac:dyDescent="0.2">
      <c r="A8">
        <v>5</v>
      </c>
      <c r="B8">
        <f t="shared" si="0"/>
        <v>0.04</v>
      </c>
      <c r="C8" s="1">
        <f t="shared" si="1"/>
        <v>8.6000000000000002E-20</v>
      </c>
      <c r="D8" s="1">
        <f t="shared" si="2"/>
        <v>16679.731200000002</v>
      </c>
    </row>
    <row r="9" spans="1:4" x14ac:dyDescent="0.2">
      <c r="A9">
        <v>6</v>
      </c>
      <c r="B9">
        <f t="shared" si="0"/>
        <v>2.7777777777777776E-2</v>
      </c>
      <c r="C9" s="1">
        <f t="shared" si="1"/>
        <v>1.0320000000000001E-19</v>
      </c>
      <c r="D9" s="1">
        <f t="shared" si="2"/>
        <v>11583.146666666667</v>
      </c>
    </row>
    <row r="10" spans="1:4" x14ac:dyDescent="0.2">
      <c r="A10">
        <v>7</v>
      </c>
      <c r="B10">
        <f t="shared" si="0"/>
        <v>2.0408163265306121E-2</v>
      </c>
      <c r="C10" s="1">
        <f t="shared" si="1"/>
        <v>1.204E-19</v>
      </c>
      <c r="D10" s="1">
        <f t="shared" si="2"/>
        <v>8510.0669387755097</v>
      </c>
    </row>
    <row r="11" spans="1:4" x14ac:dyDescent="0.2">
      <c r="A11">
        <v>8</v>
      </c>
      <c r="B11">
        <f t="shared" si="0"/>
        <v>1.5625E-2</v>
      </c>
      <c r="C11" s="1">
        <f t="shared" si="1"/>
        <v>1.3760000000000002E-19</v>
      </c>
      <c r="D11" s="1">
        <f t="shared" si="2"/>
        <v>6515.52</v>
      </c>
    </row>
    <row r="12" spans="1:4" x14ac:dyDescent="0.2">
      <c r="A12">
        <v>9</v>
      </c>
      <c r="B12">
        <f t="shared" si="0"/>
        <v>1.2345679012345678E-2</v>
      </c>
      <c r="C12" s="1">
        <f t="shared" si="1"/>
        <v>1.5480000000000001E-19</v>
      </c>
      <c r="D12" s="1">
        <f t="shared" si="2"/>
        <v>5148.0651851851853</v>
      </c>
    </row>
    <row r="13" spans="1:4" x14ac:dyDescent="0.2">
      <c r="A13">
        <v>10</v>
      </c>
      <c r="B13">
        <f t="shared" si="0"/>
        <v>0.01</v>
      </c>
      <c r="C13" s="1">
        <f t="shared" si="1"/>
        <v>1.72E-19</v>
      </c>
      <c r="D13" s="1">
        <f t="shared" si="2"/>
        <v>4169.9328000000005</v>
      </c>
    </row>
    <row r="14" spans="1:4" x14ac:dyDescent="0.2">
      <c r="A14">
        <v>11</v>
      </c>
      <c r="B14">
        <f t="shared" si="0"/>
        <v>8.2644628099173556E-3</v>
      </c>
      <c r="C14" s="1">
        <f t="shared" si="1"/>
        <v>1.8920000000000002E-19</v>
      </c>
      <c r="D14" s="1">
        <f t="shared" si="2"/>
        <v>3446.2254545454548</v>
      </c>
    </row>
    <row r="15" spans="1:4" x14ac:dyDescent="0.2">
      <c r="A15">
        <v>12</v>
      </c>
      <c r="B15">
        <f t="shared" si="0"/>
        <v>6.9444444444444441E-3</v>
      </c>
      <c r="C15" s="1">
        <f t="shared" si="1"/>
        <v>2.0640000000000001E-19</v>
      </c>
      <c r="D15" s="1">
        <f t="shared" si="2"/>
        <v>2895.7866666666669</v>
      </c>
    </row>
    <row r="16" spans="1:4" x14ac:dyDescent="0.2">
      <c r="A16">
        <v>13</v>
      </c>
      <c r="B16">
        <f t="shared" si="0"/>
        <v>5.9171597633136093E-3</v>
      </c>
      <c r="C16" s="1">
        <f t="shared" si="1"/>
        <v>2.2360000000000001E-19</v>
      </c>
      <c r="D16" s="1">
        <f t="shared" si="2"/>
        <v>2467.4158579881655</v>
      </c>
    </row>
    <row r="17" spans="1:4" x14ac:dyDescent="0.2">
      <c r="A17">
        <v>14</v>
      </c>
      <c r="B17">
        <f t="shared" si="0"/>
        <v>5.1020408163265302E-3</v>
      </c>
      <c r="C17" s="1">
        <f t="shared" si="1"/>
        <v>2.408E-19</v>
      </c>
      <c r="D17" s="1">
        <f t="shared" si="2"/>
        <v>2127.5167346938774</v>
      </c>
    </row>
    <row r="18" spans="1:4" x14ac:dyDescent="0.2">
      <c r="A18">
        <v>15</v>
      </c>
      <c r="B18">
        <f t="shared" si="0"/>
        <v>4.4444444444444444E-3</v>
      </c>
      <c r="C18" s="1">
        <f t="shared" si="1"/>
        <v>2.5800000000000004E-19</v>
      </c>
      <c r="D18" s="1">
        <f t="shared" si="2"/>
        <v>1853.3034666666667</v>
      </c>
    </row>
    <row r="19" spans="1:4" x14ac:dyDescent="0.2">
      <c r="A19">
        <v>16</v>
      </c>
      <c r="B19">
        <f t="shared" si="0"/>
        <v>3.90625E-3</v>
      </c>
      <c r="C19" s="1">
        <f t="shared" si="1"/>
        <v>2.7520000000000004E-19</v>
      </c>
      <c r="D19" s="1">
        <f t="shared" si="2"/>
        <v>1628.88</v>
      </c>
    </row>
    <row r="20" spans="1:4" x14ac:dyDescent="0.2">
      <c r="A20">
        <v>17</v>
      </c>
      <c r="B20">
        <f t="shared" si="0"/>
        <v>3.4602076124567475E-3</v>
      </c>
      <c r="C20" s="1">
        <f t="shared" si="1"/>
        <v>2.9240000000000003E-19</v>
      </c>
      <c r="D20" s="1">
        <f t="shared" si="2"/>
        <v>1442.8833217993081</v>
      </c>
    </row>
    <row r="21" spans="1:4" x14ac:dyDescent="0.2">
      <c r="A21">
        <v>18</v>
      </c>
      <c r="B21">
        <f t="shared" si="0"/>
        <v>3.0864197530864196E-3</v>
      </c>
      <c r="C21" s="1">
        <f t="shared" si="1"/>
        <v>3.0960000000000002E-19</v>
      </c>
      <c r="D21" s="1">
        <f t="shared" si="2"/>
        <v>1287.0162962962963</v>
      </c>
    </row>
    <row r="22" spans="1:4" x14ac:dyDescent="0.2">
      <c r="A22">
        <v>19</v>
      </c>
      <c r="B22">
        <f t="shared" si="0"/>
        <v>2.7700831024930748E-3</v>
      </c>
      <c r="C22" s="1">
        <f t="shared" si="1"/>
        <v>3.2680000000000002E-19</v>
      </c>
      <c r="D22" s="1">
        <f t="shared" si="2"/>
        <v>1155.1060387811635</v>
      </c>
    </row>
    <row r="23" spans="1:4" x14ac:dyDescent="0.2">
      <c r="A23">
        <v>20</v>
      </c>
      <c r="B23">
        <f t="shared" si="0"/>
        <v>2.5000000000000001E-3</v>
      </c>
      <c r="C23" s="1">
        <f t="shared" si="1"/>
        <v>3.4400000000000001E-19</v>
      </c>
      <c r="D23" s="1">
        <f t="shared" si="2"/>
        <v>1042.4832000000001</v>
      </c>
    </row>
    <row r="24" spans="1:4" x14ac:dyDescent="0.2">
      <c r="A24">
        <v>21</v>
      </c>
      <c r="B24">
        <f t="shared" si="0"/>
        <v>2.2675736961451248E-3</v>
      </c>
      <c r="C24" s="1">
        <f t="shared" si="1"/>
        <v>3.6120000000000005E-19</v>
      </c>
      <c r="D24" s="1">
        <f t="shared" si="2"/>
        <v>945.56299319727896</v>
      </c>
    </row>
    <row r="25" spans="1:4" x14ac:dyDescent="0.2">
      <c r="A25">
        <v>22</v>
      </c>
      <c r="B25">
        <f t="shared" si="0"/>
        <v>2.0661157024793389E-3</v>
      </c>
      <c r="C25" s="1">
        <f t="shared" si="1"/>
        <v>3.7840000000000004E-19</v>
      </c>
      <c r="D25" s="1">
        <f t="shared" si="2"/>
        <v>861.5563636363637</v>
      </c>
    </row>
    <row r="26" spans="1:4" x14ac:dyDescent="0.2">
      <c r="A26">
        <v>23</v>
      </c>
      <c r="B26">
        <f t="shared" si="0"/>
        <v>1.890359168241966E-3</v>
      </c>
      <c r="C26" s="1">
        <f t="shared" si="1"/>
        <v>3.9560000000000004E-19</v>
      </c>
      <c r="D26" s="1">
        <f t="shared" si="2"/>
        <v>788.26706994328924</v>
      </c>
    </row>
    <row r="27" spans="1:4" x14ac:dyDescent="0.2">
      <c r="A27">
        <v>24</v>
      </c>
      <c r="B27">
        <f t="shared" si="0"/>
        <v>1.736111111111111E-3</v>
      </c>
      <c r="C27" s="1">
        <f t="shared" si="1"/>
        <v>4.1280000000000003E-19</v>
      </c>
      <c r="D27" s="1">
        <f t="shared" si="2"/>
        <v>723.94666666666672</v>
      </c>
    </row>
    <row r="28" spans="1:4" x14ac:dyDescent="0.2">
      <c r="A28">
        <v>25</v>
      </c>
      <c r="B28">
        <f t="shared" si="0"/>
        <v>1.6000000000000001E-3</v>
      </c>
      <c r="C28" s="1">
        <f t="shared" si="1"/>
        <v>4.3000000000000002E-19</v>
      </c>
      <c r="D28" s="1">
        <f t="shared" si="2"/>
        <v>667.18924800000013</v>
      </c>
    </row>
    <row r="29" spans="1:4" x14ac:dyDescent="0.2">
      <c r="A29">
        <v>26</v>
      </c>
      <c r="B29">
        <f t="shared" si="0"/>
        <v>1.4792899408284023E-3</v>
      </c>
      <c r="C29" s="1">
        <f t="shared" si="1"/>
        <v>4.4720000000000002E-19</v>
      </c>
      <c r="D29" s="1">
        <f t="shared" si="2"/>
        <v>616.85396449704137</v>
      </c>
    </row>
    <row r="30" spans="1:4" x14ac:dyDescent="0.2">
      <c r="A30">
        <v>27</v>
      </c>
      <c r="B30">
        <f t="shared" si="0"/>
        <v>1.3717421124828531E-3</v>
      </c>
      <c r="C30" s="1">
        <f t="shared" si="1"/>
        <v>4.6440000000000001E-19</v>
      </c>
      <c r="D30" s="1">
        <f t="shared" si="2"/>
        <v>572.0072427983539</v>
      </c>
    </row>
    <row r="31" spans="1:4" x14ac:dyDescent="0.2">
      <c r="A31">
        <v>28</v>
      </c>
      <c r="B31">
        <f t="shared" si="0"/>
        <v>1.2755102040816326E-3</v>
      </c>
      <c r="C31" s="1">
        <f t="shared" si="1"/>
        <v>4.816E-19</v>
      </c>
      <c r="D31" s="1">
        <f t="shared" si="2"/>
        <v>531.87918367346936</v>
      </c>
    </row>
    <row r="32" spans="1:4" x14ac:dyDescent="0.2">
      <c r="A32">
        <v>29</v>
      </c>
      <c r="B32">
        <f t="shared" si="0"/>
        <v>1.1890606420927466E-3</v>
      </c>
      <c r="C32" s="1">
        <f t="shared" si="1"/>
        <v>4.988E-19</v>
      </c>
      <c r="D32" s="1">
        <f t="shared" si="2"/>
        <v>495.83029726516054</v>
      </c>
    </row>
    <row r="33" spans="1:4" x14ac:dyDescent="0.2">
      <c r="A33">
        <v>30</v>
      </c>
      <c r="B33">
        <f t="shared" si="0"/>
        <v>1.1111111111111111E-3</v>
      </c>
      <c r="C33" s="1">
        <f t="shared" si="1"/>
        <v>5.1600000000000009E-19</v>
      </c>
      <c r="D33" s="1">
        <f t="shared" si="2"/>
        <v>463.32586666666668</v>
      </c>
    </row>
    <row r="34" spans="1:4" x14ac:dyDescent="0.2">
      <c r="A34">
        <v>31</v>
      </c>
      <c r="B34">
        <f t="shared" si="0"/>
        <v>1.0405827263267431E-3</v>
      </c>
      <c r="C34" s="1">
        <f t="shared" si="1"/>
        <v>5.3320000000000008E-19</v>
      </c>
      <c r="D34" s="1">
        <f t="shared" si="2"/>
        <v>433.91600416233092</v>
      </c>
    </row>
    <row r="35" spans="1:4" x14ac:dyDescent="0.2">
      <c r="A35">
        <v>32</v>
      </c>
      <c r="B35">
        <f t="shared" si="0"/>
        <v>9.765625E-4</v>
      </c>
      <c r="C35" s="1">
        <f t="shared" si="1"/>
        <v>5.5040000000000007E-19</v>
      </c>
      <c r="D35" s="1">
        <f t="shared" si="2"/>
        <v>407.22</v>
      </c>
    </row>
    <row r="36" spans="1:4" x14ac:dyDescent="0.2">
      <c r="A36">
        <v>33</v>
      </c>
      <c r="B36">
        <f t="shared" si="0"/>
        <v>9.1827364554637281E-4</v>
      </c>
      <c r="C36" s="1">
        <f t="shared" si="1"/>
        <v>5.6760000000000007E-19</v>
      </c>
      <c r="D36" s="1">
        <f t="shared" si="2"/>
        <v>382.91393939393942</v>
      </c>
    </row>
    <row r="37" spans="1:4" x14ac:dyDescent="0.2">
      <c r="A37">
        <v>34</v>
      </c>
      <c r="B37">
        <f t="shared" si="0"/>
        <v>8.6505190311418688E-4</v>
      </c>
      <c r="C37" s="1">
        <f t="shared" si="1"/>
        <v>5.8480000000000006E-19</v>
      </c>
      <c r="D37" s="1">
        <f t="shared" si="2"/>
        <v>360.72083044982702</v>
      </c>
    </row>
    <row r="38" spans="1:4" x14ac:dyDescent="0.2">
      <c r="A38">
        <v>35</v>
      </c>
      <c r="B38">
        <f t="shared" si="0"/>
        <v>8.1632653061224493E-4</v>
      </c>
      <c r="C38" s="1">
        <f t="shared" si="1"/>
        <v>6.0199999999999996E-19</v>
      </c>
      <c r="D38" s="1">
        <f t="shared" si="2"/>
        <v>340.40267755102047</v>
      </c>
    </row>
    <row r="39" spans="1:4" x14ac:dyDescent="0.2">
      <c r="A39">
        <v>36</v>
      </c>
      <c r="B39">
        <f t="shared" si="0"/>
        <v>7.716049382716049E-4</v>
      </c>
      <c r="C39" s="1">
        <f t="shared" si="1"/>
        <v>6.1920000000000004E-19</v>
      </c>
      <c r="D39" s="1">
        <f t="shared" si="2"/>
        <v>321.75407407407408</v>
      </c>
    </row>
    <row r="40" spans="1:4" x14ac:dyDescent="0.2">
      <c r="A40">
        <v>37</v>
      </c>
      <c r="B40">
        <f t="shared" si="0"/>
        <v>7.3046018991964939E-4</v>
      </c>
      <c r="C40" s="1">
        <f t="shared" si="1"/>
        <v>6.3640000000000013E-19</v>
      </c>
      <c r="D40" s="1">
        <f t="shared" si="2"/>
        <v>304.59699050401758</v>
      </c>
    </row>
    <row r="41" spans="1:4" x14ac:dyDescent="0.2">
      <c r="A41">
        <v>38</v>
      </c>
      <c r="B41">
        <f t="shared" si="0"/>
        <v>6.925207756232687E-4</v>
      </c>
      <c r="C41" s="1">
        <f t="shared" si="1"/>
        <v>6.5360000000000003E-19</v>
      </c>
      <c r="D41" s="1">
        <f t="shared" si="2"/>
        <v>288.77650969529088</v>
      </c>
    </row>
    <row r="42" spans="1:4" x14ac:dyDescent="0.2">
      <c r="A42">
        <v>39</v>
      </c>
      <c r="B42">
        <f t="shared" si="0"/>
        <v>6.5746219592373442E-4</v>
      </c>
      <c r="C42" s="1">
        <f t="shared" si="1"/>
        <v>6.7080000000000002E-19</v>
      </c>
      <c r="D42" s="1">
        <f t="shared" si="2"/>
        <v>274.15731755424065</v>
      </c>
    </row>
    <row r="43" spans="1:4" x14ac:dyDescent="0.2">
      <c r="A43">
        <v>40</v>
      </c>
      <c r="B43">
        <f t="shared" si="0"/>
        <v>6.2500000000000001E-4</v>
      </c>
      <c r="C43" s="1">
        <f t="shared" si="1"/>
        <v>6.8800000000000002E-19</v>
      </c>
      <c r="D43" s="1">
        <f t="shared" si="2"/>
        <v>260.62080000000003</v>
      </c>
    </row>
    <row r="44" spans="1:4" x14ac:dyDescent="0.2">
      <c r="A44">
        <v>41</v>
      </c>
      <c r="B44">
        <f t="shared" si="0"/>
        <v>5.9488399762046404E-4</v>
      </c>
      <c r="C44" s="1">
        <f t="shared" si="1"/>
        <v>7.0520000000000011E-19</v>
      </c>
      <c r="D44" s="1">
        <f t="shared" si="2"/>
        <v>248.06262938726951</v>
      </c>
    </row>
    <row r="45" spans="1:4" x14ac:dyDescent="0.2">
      <c r="A45">
        <v>42</v>
      </c>
      <c r="B45">
        <f t="shared" si="0"/>
        <v>5.6689342403628119E-4</v>
      </c>
      <c r="C45" s="1">
        <f t="shared" si="1"/>
        <v>7.224000000000001E-19</v>
      </c>
      <c r="D45" s="1">
        <f t="shared" si="2"/>
        <v>236.39074829931974</v>
      </c>
    </row>
    <row r="46" spans="1:4" x14ac:dyDescent="0.2">
      <c r="A46">
        <v>43</v>
      </c>
      <c r="B46">
        <f t="shared" si="0"/>
        <v>5.4083288263926451E-4</v>
      </c>
      <c r="C46" s="1">
        <f t="shared" si="1"/>
        <v>7.396E-19</v>
      </c>
      <c r="D46" s="1">
        <f t="shared" si="2"/>
        <v>225.52367766360197</v>
      </c>
    </row>
    <row r="47" spans="1:4" x14ac:dyDescent="0.2">
      <c r="A47">
        <v>44</v>
      </c>
      <c r="B47">
        <f t="shared" si="0"/>
        <v>5.1652892561983473E-4</v>
      </c>
      <c r="C47" s="1">
        <f t="shared" si="1"/>
        <v>7.5680000000000009E-19</v>
      </c>
      <c r="D47" s="1">
        <f t="shared" si="2"/>
        <v>215.38909090909092</v>
      </c>
    </row>
    <row r="48" spans="1:4" x14ac:dyDescent="0.2">
      <c r="A48">
        <v>45</v>
      </c>
      <c r="B48">
        <f t="shared" si="0"/>
        <v>4.9382716049382717E-4</v>
      </c>
      <c r="C48" s="1">
        <f t="shared" si="1"/>
        <v>7.7400000000000008E-19</v>
      </c>
      <c r="D48" s="1">
        <f t="shared" si="2"/>
        <v>205.92260740740741</v>
      </c>
    </row>
    <row r="49" spans="1:4" x14ac:dyDescent="0.2">
      <c r="A49">
        <v>46</v>
      </c>
      <c r="B49">
        <f t="shared" si="0"/>
        <v>4.7258979206049151E-4</v>
      </c>
      <c r="C49" s="1">
        <f t="shared" si="1"/>
        <v>7.9120000000000007E-19</v>
      </c>
      <c r="D49" s="1">
        <f t="shared" si="2"/>
        <v>197.06676748582231</v>
      </c>
    </row>
    <row r="50" spans="1:4" x14ac:dyDescent="0.2">
      <c r="A50">
        <v>47</v>
      </c>
      <c r="B50">
        <f t="shared" si="0"/>
        <v>4.526935264825713E-4</v>
      </c>
      <c r="C50" s="1">
        <f t="shared" si="1"/>
        <v>8.0839999999999997E-19</v>
      </c>
      <c r="D50" s="1">
        <f t="shared" si="2"/>
        <v>188.77015844273427</v>
      </c>
    </row>
    <row r="51" spans="1:4" x14ac:dyDescent="0.2">
      <c r="A51">
        <v>48</v>
      </c>
      <c r="B51">
        <f t="shared" si="0"/>
        <v>4.3402777777777775E-4</v>
      </c>
      <c r="C51" s="1">
        <f t="shared" si="1"/>
        <v>8.2560000000000006E-19</v>
      </c>
      <c r="D51" s="1">
        <f t="shared" si="2"/>
        <v>180.98666666666668</v>
      </c>
    </row>
    <row r="52" spans="1:4" x14ac:dyDescent="0.2">
      <c r="A52">
        <v>49</v>
      </c>
      <c r="B52">
        <f t="shared" si="0"/>
        <v>4.1649312786339027E-4</v>
      </c>
      <c r="C52" s="1">
        <f t="shared" si="1"/>
        <v>8.4280000000000015E-19</v>
      </c>
      <c r="D52" s="1">
        <f t="shared" si="2"/>
        <v>173.67483548521449</v>
      </c>
    </row>
    <row r="53" spans="1:4" x14ac:dyDescent="0.2">
      <c r="A53">
        <v>50</v>
      </c>
      <c r="B53">
        <f t="shared" si="0"/>
        <v>4.0000000000000002E-4</v>
      </c>
      <c r="C53" s="1">
        <f t="shared" si="1"/>
        <v>8.6000000000000005E-19</v>
      </c>
      <c r="D53" s="1">
        <f t="shared" si="2"/>
        <v>166.79731200000003</v>
      </c>
    </row>
    <row r="54" spans="1:4" x14ac:dyDescent="0.2">
      <c r="A54">
        <v>51</v>
      </c>
      <c r="B54">
        <f t="shared" si="0"/>
        <v>3.8446751249519417E-4</v>
      </c>
      <c r="C54" s="1">
        <f t="shared" si="1"/>
        <v>8.7720000000000004E-19</v>
      </c>
      <c r="D54" s="1">
        <f t="shared" si="2"/>
        <v>160.32036908881201</v>
      </c>
    </row>
    <row r="55" spans="1:4" x14ac:dyDescent="0.2">
      <c r="A55">
        <v>52</v>
      </c>
      <c r="B55">
        <f t="shared" si="0"/>
        <v>3.6982248520710058E-4</v>
      </c>
      <c r="C55" s="1">
        <f t="shared" si="1"/>
        <v>8.9440000000000003E-19</v>
      </c>
      <c r="D55" s="1">
        <f t="shared" si="2"/>
        <v>154.21349112426034</v>
      </c>
    </row>
    <row r="56" spans="1:4" x14ac:dyDescent="0.2">
      <c r="A56">
        <v>53</v>
      </c>
      <c r="B56">
        <f t="shared" si="0"/>
        <v>3.55998576005696E-4</v>
      </c>
      <c r="C56" s="1">
        <f t="shared" si="1"/>
        <v>9.1160000000000022E-19</v>
      </c>
      <c r="D56" s="1">
        <f t="shared" si="2"/>
        <v>148.44901388394447</v>
      </c>
    </row>
    <row r="57" spans="1:4" x14ac:dyDescent="0.2">
      <c r="A57">
        <v>54</v>
      </c>
      <c r="B57">
        <f t="shared" si="0"/>
        <v>3.4293552812071328E-4</v>
      </c>
      <c r="C57" s="1">
        <f t="shared" si="1"/>
        <v>9.2880000000000002E-19</v>
      </c>
      <c r="D57" s="1">
        <f t="shared" si="2"/>
        <v>143.00181069958848</v>
      </c>
    </row>
    <row r="58" spans="1:4" x14ac:dyDescent="0.2">
      <c r="A58">
        <v>55</v>
      </c>
      <c r="B58">
        <f t="shared" si="0"/>
        <v>3.3057851239669424E-4</v>
      </c>
      <c r="C58" s="1">
        <f t="shared" si="1"/>
        <v>9.4600000000000001E-19</v>
      </c>
      <c r="D58" s="1">
        <f t="shared" si="2"/>
        <v>137.8490181818182</v>
      </c>
    </row>
    <row r="59" spans="1:4" x14ac:dyDescent="0.2">
      <c r="A59">
        <v>56</v>
      </c>
      <c r="B59">
        <f t="shared" si="0"/>
        <v>3.1887755102040814E-4</v>
      </c>
      <c r="C59" s="1">
        <f t="shared" si="1"/>
        <v>9.6320000000000001E-19</v>
      </c>
      <c r="D59" s="1">
        <f t="shared" si="2"/>
        <v>132.96979591836734</v>
      </c>
    </row>
    <row r="60" spans="1:4" x14ac:dyDescent="0.2">
      <c r="A60">
        <v>57</v>
      </c>
      <c r="B60">
        <f t="shared" si="0"/>
        <v>3.0778701138811941E-4</v>
      </c>
      <c r="C60" s="1">
        <f t="shared" si="1"/>
        <v>9.8040000000000019E-19</v>
      </c>
      <c r="D60" s="1">
        <f t="shared" si="2"/>
        <v>128.34511542012928</v>
      </c>
    </row>
    <row r="61" spans="1:4" x14ac:dyDescent="0.2">
      <c r="A61">
        <v>58</v>
      </c>
      <c r="B61">
        <f t="shared" si="0"/>
        <v>2.9726516052318666E-4</v>
      </c>
      <c r="C61" s="1">
        <f t="shared" si="1"/>
        <v>9.9759999999999999E-19</v>
      </c>
      <c r="D61" s="1">
        <f t="shared" si="2"/>
        <v>123.95757431629013</v>
      </c>
    </row>
    <row r="62" spans="1:4" x14ac:dyDescent="0.2">
      <c r="A62">
        <v>59</v>
      </c>
      <c r="B62">
        <f t="shared" si="0"/>
        <v>2.8727377190462512E-4</v>
      </c>
      <c r="C62" s="1">
        <f t="shared" si="1"/>
        <v>1.0148E-18</v>
      </c>
      <c r="D62" s="1">
        <f t="shared" si="2"/>
        <v>119.79123240448148</v>
      </c>
    </row>
    <row r="63" spans="1:4" x14ac:dyDescent="0.2">
      <c r="A63">
        <v>60</v>
      </c>
      <c r="B63">
        <f t="shared" si="0"/>
        <v>2.7777777777777778E-4</v>
      </c>
      <c r="C63" s="1">
        <f t="shared" si="1"/>
        <v>1.0320000000000002E-18</v>
      </c>
      <c r="D63" s="1">
        <f t="shared" si="2"/>
        <v>115.83146666666667</v>
      </c>
    </row>
    <row r="64" spans="1:4" x14ac:dyDescent="0.2">
      <c r="A64">
        <v>61</v>
      </c>
      <c r="B64">
        <f t="shared" si="0"/>
        <v>2.6874496103198063E-4</v>
      </c>
      <c r="C64" s="1">
        <f t="shared" si="1"/>
        <v>1.0492000000000002E-18</v>
      </c>
      <c r="D64" s="1">
        <f t="shared" si="2"/>
        <v>112.06484278419778</v>
      </c>
    </row>
    <row r="65" spans="1:4" x14ac:dyDescent="0.2">
      <c r="A65">
        <v>62</v>
      </c>
      <c r="B65">
        <f t="shared" si="0"/>
        <v>2.6014568158168577E-4</v>
      </c>
      <c r="C65" s="1">
        <f t="shared" si="1"/>
        <v>1.0664000000000002E-18</v>
      </c>
      <c r="D65" s="1">
        <f t="shared" si="2"/>
        <v>108.47900104058273</v>
      </c>
    </row>
    <row r="66" spans="1:4" x14ac:dyDescent="0.2">
      <c r="A66">
        <v>63</v>
      </c>
      <c r="B66">
        <f t="shared" si="0"/>
        <v>2.5195263290501388E-4</v>
      </c>
      <c r="C66" s="1">
        <f t="shared" si="1"/>
        <v>1.0836E-18</v>
      </c>
      <c r="D66" s="1">
        <f t="shared" si="2"/>
        <v>105.06255479969766</v>
      </c>
    </row>
    <row r="67" spans="1:4" x14ac:dyDescent="0.2">
      <c r="A67">
        <v>64</v>
      </c>
      <c r="B67">
        <f t="shared" si="0"/>
        <v>2.44140625E-4</v>
      </c>
      <c r="C67" s="1">
        <f t="shared" si="1"/>
        <v>1.1008000000000001E-18</v>
      </c>
      <c r="D67" s="1">
        <f t="shared" si="2"/>
        <v>101.80500000000001</v>
      </c>
    </row>
    <row r="68" spans="1:4" x14ac:dyDescent="0.2">
      <c r="A68">
        <v>65</v>
      </c>
      <c r="B68">
        <f t="shared" si="0"/>
        <v>2.3668639053254438E-4</v>
      </c>
      <c r="C68" s="1">
        <f t="shared" si="1"/>
        <v>1.1180000000000001E-18</v>
      </c>
      <c r="D68" s="1">
        <f t="shared" si="2"/>
        <v>98.696634319526638</v>
      </c>
    </row>
    <row r="69" spans="1:4" x14ac:dyDescent="0.2">
      <c r="A69">
        <v>66</v>
      </c>
      <c r="B69">
        <f t="shared" ref="B69:B103" si="3">1/(A69^2)</f>
        <v>2.295684113865932E-4</v>
      </c>
      <c r="C69" s="1">
        <f t="shared" ref="C69:C103" si="4">$B$1*A69*0.01</f>
        <v>1.1352000000000001E-18</v>
      </c>
      <c r="D69" s="1">
        <f t="shared" ref="D69:D103" si="5">B69*0.01*$B$2</f>
        <v>95.728484848484854</v>
      </c>
    </row>
    <row r="70" spans="1:4" x14ac:dyDescent="0.2">
      <c r="A70">
        <v>67</v>
      </c>
      <c r="B70">
        <f t="shared" si="3"/>
        <v>2.2276676319893073E-4</v>
      </c>
      <c r="C70" s="1">
        <f t="shared" si="4"/>
        <v>1.1523999999999999E-18</v>
      </c>
      <c r="D70" s="1">
        <f t="shared" si="5"/>
        <v>92.89224326130541</v>
      </c>
    </row>
    <row r="71" spans="1:4" x14ac:dyDescent="0.2">
      <c r="A71">
        <v>68</v>
      </c>
      <c r="B71">
        <f t="shared" si="3"/>
        <v>2.1626297577854672E-4</v>
      </c>
      <c r="C71" s="1">
        <f t="shared" si="4"/>
        <v>1.1696000000000001E-18</v>
      </c>
      <c r="D71" s="1">
        <f t="shared" si="5"/>
        <v>90.180207612456755</v>
      </c>
    </row>
    <row r="72" spans="1:4" x14ac:dyDescent="0.2">
      <c r="A72">
        <v>69</v>
      </c>
      <c r="B72">
        <f t="shared" si="3"/>
        <v>2.1003990758244065E-4</v>
      </c>
      <c r="C72" s="1">
        <f t="shared" si="4"/>
        <v>1.1868000000000001E-18</v>
      </c>
      <c r="D72" s="1">
        <f t="shared" si="5"/>
        <v>87.585229993698803</v>
      </c>
    </row>
    <row r="73" spans="1:4" x14ac:dyDescent="0.2">
      <c r="A73">
        <v>70</v>
      </c>
      <c r="B73">
        <f t="shared" si="3"/>
        <v>2.0408163265306123E-4</v>
      </c>
      <c r="C73" s="1">
        <f t="shared" si="4"/>
        <v>1.2039999999999999E-18</v>
      </c>
      <c r="D73" s="1">
        <f t="shared" si="5"/>
        <v>85.100669387755119</v>
      </c>
    </row>
    <row r="74" spans="1:4" x14ac:dyDescent="0.2">
      <c r="A74">
        <v>71</v>
      </c>
      <c r="B74">
        <f t="shared" si="3"/>
        <v>1.9837333862328903E-4</v>
      </c>
      <c r="C74" s="1">
        <f t="shared" si="4"/>
        <v>1.2212000000000001E-18</v>
      </c>
      <c r="D74" s="1">
        <f t="shared" si="5"/>
        <v>82.720349137075985</v>
      </c>
    </row>
    <row r="75" spans="1:4" x14ac:dyDescent="0.2">
      <c r="A75">
        <v>72</v>
      </c>
      <c r="B75">
        <f t="shared" si="3"/>
        <v>1.9290123456790122E-4</v>
      </c>
      <c r="C75" s="1">
        <f t="shared" si="4"/>
        <v>1.2384000000000001E-18</v>
      </c>
      <c r="D75" s="1">
        <f t="shared" si="5"/>
        <v>80.438518518518521</v>
      </c>
    </row>
    <row r="76" spans="1:4" x14ac:dyDescent="0.2">
      <c r="A76">
        <v>73</v>
      </c>
      <c r="B76">
        <f t="shared" si="3"/>
        <v>1.8765246762994934E-4</v>
      </c>
      <c r="C76" s="1">
        <f t="shared" si="4"/>
        <v>1.2556000000000001E-18</v>
      </c>
      <c r="D76" s="1">
        <f t="shared" si="5"/>
        <v>78.249817977106403</v>
      </c>
    </row>
    <row r="77" spans="1:4" x14ac:dyDescent="0.2">
      <c r="A77">
        <v>74</v>
      </c>
      <c r="B77">
        <f t="shared" si="3"/>
        <v>1.8261504747991235E-4</v>
      </c>
      <c r="C77" s="1">
        <f t="shared" si="4"/>
        <v>1.2728000000000003E-18</v>
      </c>
      <c r="D77" s="1">
        <f t="shared" si="5"/>
        <v>76.149247626004396</v>
      </c>
    </row>
    <row r="78" spans="1:4" x14ac:dyDescent="0.2">
      <c r="A78">
        <v>75</v>
      </c>
      <c r="B78">
        <f t="shared" si="3"/>
        <v>1.7777777777777779E-4</v>
      </c>
      <c r="C78" s="1">
        <f t="shared" si="4"/>
        <v>1.2900000000000001E-18</v>
      </c>
      <c r="D78" s="1">
        <f t="shared" si="5"/>
        <v>74.132138666666677</v>
      </c>
    </row>
    <row r="79" spans="1:4" x14ac:dyDescent="0.2">
      <c r="A79">
        <v>76</v>
      </c>
      <c r="B79">
        <f t="shared" si="3"/>
        <v>1.7313019390581717E-4</v>
      </c>
      <c r="C79" s="1">
        <f t="shared" si="4"/>
        <v>1.3072000000000001E-18</v>
      </c>
      <c r="D79" s="1">
        <f t="shared" si="5"/>
        <v>72.194127423822721</v>
      </c>
    </row>
    <row r="80" spans="1:4" x14ac:dyDescent="0.2">
      <c r="A80">
        <v>77</v>
      </c>
      <c r="B80">
        <f t="shared" si="3"/>
        <v>1.6866250632484398E-4</v>
      </c>
      <c r="C80" s="1">
        <f t="shared" si="4"/>
        <v>1.3244000000000002E-18</v>
      </c>
      <c r="D80" s="1">
        <f t="shared" si="5"/>
        <v>70.331131725417436</v>
      </c>
    </row>
    <row r="81" spans="1:4" x14ac:dyDescent="0.2">
      <c r="A81">
        <v>78</v>
      </c>
      <c r="B81">
        <f t="shared" si="3"/>
        <v>1.643655489809336E-4</v>
      </c>
      <c r="C81" s="1">
        <f t="shared" si="4"/>
        <v>1.3416E-18</v>
      </c>
      <c r="D81" s="1">
        <f t="shared" si="5"/>
        <v>68.539329388560162</v>
      </c>
    </row>
    <row r="82" spans="1:4" x14ac:dyDescent="0.2">
      <c r="A82">
        <v>79</v>
      </c>
      <c r="B82">
        <f t="shared" si="3"/>
        <v>1.602307322544464E-4</v>
      </c>
      <c r="C82" s="1">
        <f t="shared" si="4"/>
        <v>1.3588E-18</v>
      </c>
      <c r="D82" s="1">
        <f t="shared" si="5"/>
        <v>66.815138599583406</v>
      </c>
    </row>
    <row r="83" spans="1:4" x14ac:dyDescent="0.2">
      <c r="A83">
        <v>80</v>
      </c>
      <c r="B83">
        <f t="shared" si="3"/>
        <v>1.5625E-4</v>
      </c>
      <c r="C83" s="1">
        <f t="shared" si="4"/>
        <v>1.376E-18</v>
      </c>
      <c r="D83" s="1">
        <f t="shared" si="5"/>
        <v>65.155200000000008</v>
      </c>
    </row>
    <row r="84" spans="1:4" x14ac:dyDescent="0.2">
      <c r="A84">
        <v>81</v>
      </c>
      <c r="B84">
        <f t="shared" si="3"/>
        <v>1.5241579027587258E-4</v>
      </c>
      <c r="C84" s="1">
        <f t="shared" si="4"/>
        <v>1.3932000000000002E-18</v>
      </c>
      <c r="D84" s="1">
        <f t="shared" si="5"/>
        <v>63.556360310928213</v>
      </c>
    </row>
    <row r="85" spans="1:4" x14ac:dyDescent="0.2">
      <c r="A85">
        <v>82</v>
      </c>
      <c r="B85">
        <f t="shared" si="3"/>
        <v>1.4872099940511601E-4</v>
      </c>
      <c r="C85" s="1">
        <f t="shared" si="4"/>
        <v>1.4104000000000002E-18</v>
      </c>
      <c r="D85" s="1">
        <f t="shared" si="5"/>
        <v>62.015657346817378</v>
      </c>
    </row>
    <row r="86" spans="1:4" x14ac:dyDescent="0.2">
      <c r="A86">
        <v>83</v>
      </c>
      <c r="B86">
        <f t="shared" si="3"/>
        <v>1.4515894904920887E-4</v>
      </c>
      <c r="C86" s="1">
        <f t="shared" si="4"/>
        <v>1.4276E-18</v>
      </c>
      <c r="D86" s="1">
        <f t="shared" si="5"/>
        <v>60.530306285382487</v>
      </c>
    </row>
    <row r="87" spans="1:4" x14ac:dyDescent="0.2">
      <c r="A87">
        <v>84</v>
      </c>
      <c r="B87">
        <f t="shared" si="3"/>
        <v>1.417233560090703E-4</v>
      </c>
      <c r="C87" s="1">
        <f t="shared" si="4"/>
        <v>1.4448000000000002E-18</v>
      </c>
      <c r="D87" s="1">
        <f t="shared" si="5"/>
        <v>59.097687074829935</v>
      </c>
    </row>
    <row r="88" spans="1:4" x14ac:dyDescent="0.2">
      <c r="A88">
        <v>85</v>
      </c>
      <c r="B88">
        <f t="shared" si="3"/>
        <v>1.3840830449826991E-4</v>
      </c>
      <c r="C88" s="1">
        <f t="shared" si="4"/>
        <v>1.4620000000000002E-18</v>
      </c>
      <c r="D88" s="1">
        <f t="shared" si="5"/>
        <v>57.715332871972329</v>
      </c>
    </row>
    <row r="89" spans="1:4" x14ac:dyDescent="0.2">
      <c r="A89">
        <v>86</v>
      </c>
      <c r="B89">
        <f t="shared" si="3"/>
        <v>1.3520822065981613E-4</v>
      </c>
      <c r="C89" s="1">
        <f t="shared" si="4"/>
        <v>1.4792E-18</v>
      </c>
      <c r="D89" s="1">
        <f t="shared" si="5"/>
        <v>56.380919415900493</v>
      </c>
    </row>
    <row r="90" spans="1:4" x14ac:dyDescent="0.2">
      <c r="A90">
        <v>87</v>
      </c>
      <c r="B90">
        <f t="shared" si="3"/>
        <v>1.3211784912141631E-4</v>
      </c>
      <c r="C90" s="1">
        <f t="shared" si="4"/>
        <v>1.4964E-18</v>
      </c>
      <c r="D90" s="1">
        <f t="shared" si="5"/>
        <v>55.092255251684506</v>
      </c>
    </row>
    <row r="91" spans="1:4" x14ac:dyDescent="0.2">
      <c r="A91">
        <v>88</v>
      </c>
      <c r="B91">
        <f t="shared" si="3"/>
        <v>1.2913223140495868E-4</v>
      </c>
      <c r="C91" s="1">
        <f t="shared" si="4"/>
        <v>1.5136000000000002E-18</v>
      </c>
      <c r="D91" s="1">
        <f t="shared" si="5"/>
        <v>53.847272727272731</v>
      </c>
    </row>
    <row r="92" spans="1:4" x14ac:dyDescent="0.2">
      <c r="A92">
        <v>89</v>
      </c>
      <c r="B92">
        <f t="shared" si="3"/>
        <v>1.2624668602449185E-4</v>
      </c>
      <c r="C92" s="1">
        <f t="shared" si="4"/>
        <v>1.5308000000000002E-18</v>
      </c>
      <c r="D92" s="1">
        <f t="shared" si="5"/>
        <v>52.644019694483021</v>
      </c>
    </row>
    <row r="93" spans="1:4" x14ac:dyDescent="0.2">
      <c r="A93">
        <v>90</v>
      </c>
      <c r="B93">
        <f t="shared" si="3"/>
        <v>1.2345679012345679E-4</v>
      </c>
      <c r="C93" s="1">
        <f t="shared" si="4"/>
        <v>1.5480000000000002E-18</v>
      </c>
      <c r="D93" s="1">
        <f t="shared" si="5"/>
        <v>51.480651851851853</v>
      </c>
    </row>
    <row r="94" spans="1:4" x14ac:dyDescent="0.2">
      <c r="A94">
        <v>91</v>
      </c>
      <c r="B94">
        <f t="shared" si="3"/>
        <v>1.2075836251660427E-4</v>
      </c>
      <c r="C94" s="1">
        <f t="shared" si="4"/>
        <v>1.5652E-18</v>
      </c>
      <c r="D94" s="1">
        <f t="shared" si="5"/>
        <v>50.35542567322787</v>
      </c>
    </row>
    <row r="95" spans="1:4" x14ac:dyDescent="0.2">
      <c r="A95">
        <v>92</v>
      </c>
      <c r="B95">
        <f t="shared" si="3"/>
        <v>1.1814744801512288E-4</v>
      </c>
      <c r="C95" s="1">
        <f t="shared" si="4"/>
        <v>1.5824000000000001E-18</v>
      </c>
      <c r="D95" s="1">
        <f t="shared" si="5"/>
        <v>49.266691871455578</v>
      </c>
    </row>
    <row r="96" spans="1:4" x14ac:dyDescent="0.2">
      <c r="A96">
        <v>93</v>
      </c>
      <c r="B96">
        <f t="shared" si="3"/>
        <v>1.1562030292519366E-4</v>
      </c>
      <c r="C96" s="1">
        <f t="shared" si="4"/>
        <v>1.5996000000000001E-18</v>
      </c>
      <c r="D96" s="1">
        <f t="shared" si="5"/>
        <v>48.212889351370094</v>
      </c>
    </row>
    <row r="97" spans="1:4" x14ac:dyDescent="0.2">
      <c r="A97">
        <v>94</v>
      </c>
      <c r="B97">
        <f t="shared" si="3"/>
        <v>1.1317338162064282E-4</v>
      </c>
      <c r="C97" s="1">
        <f t="shared" si="4"/>
        <v>1.6167999999999999E-18</v>
      </c>
      <c r="D97" s="1">
        <f t="shared" si="5"/>
        <v>47.192539610683568</v>
      </c>
    </row>
    <row r="98" spans="1:4" x14ac:dyDescent="0.2">
      <c r="A98">
        <v>95</v>
      </c>
      <c r="B98">
        <f t="shared" si="3"/>
        <v>1.1080332409972299E-4</v>
      </c>
      <c r="C98" s="1">
        <f t="shared" si="4"/>
        <v>1.6340000000000001E-18</v>
      </c>
      <c r="D98" s="1">
        <f t="shared" si="5"/>
        <v>46.20424155124654</v>
      </c>
    </row>
    <row r="99" spans="1:4" x14ac:dyDescent="0.2">
      <c r="A99">
        <v>96</v>
      </c>
      <c r="B99">
        <f t="shared" si="3"/>
        <v>1.0850694444444444E-4</v>
      </c>
      <c r="C99" s="1">
        <f t="shared" si="4"/>
        <v>1.6512000000000001E-18</v>
      </c>
      <c r="D99" s="1">
        <f t="shared" si="5"/>
        <v>45.24666666666667</v>
      </c>
    </row>
    <row r="100" spans="1:4" x14ac:dyDescent="0.2">
      <c r="A100">
        <v>97</v>
      </c>
      <c r="B100">
        <f t="shared" si="3"/>
        <v>1.0628122010840685E-4</v>
      </c>
      <c r="C100" s="1">
        <f t="shared" si="4"/>
        <v>1.6684000000000001E-18</v>
      </c>
      <c r="D100" s="1">
        <f t="shared" si="5"/>
        <v>44.31855457540653</v>
      </c>
    </row>
    <row r="101" spans="1:4" x14ac:dyDescent="0.2">
      <c r="A101">
        <v>98</v>
      </c>
      <c r="B101">
        <f t="shared" si="3"/>
        <v>1.0412328196584757E-4</v>
      </c>
      <c r="C101" s="1">
        <f t="shared" si="4"/>
        <v>1.6856000000000003E-18</v>
      </c>
      <c r="D101" s="1">
        <f t="shared" si="5"/>
        <v>43.418708871303622</v>
      </c>
    </row>
    <row r="102" spans="1:4" x14ac:dyDescent="0.2">
      <c r="A102">
        <v>99</v>
      </c>
      <c r="B102">
        <f t="shared" si="3"/>
        <v>1.0203040506070809E-4</v>
      </c>
      <c r="C102" s="1">
        <f t="shared" si="4"/>
        <v>1.7028000000000001E-18</v>
      </c>
      <c r="D102" s="1">
        <f t="shared" si="5"/>
        <v>42.545993265993268</v>
      </c>
    </row>
    <row r="103" spans="1:4" x14ac:dyDescent="0.2">
      <c r="A103">
        <v>100</v>
      </c>
      <c r="B103">
        <f t="shared" si="3"/>
        <v>1E-4</v>
      </c>
      <c r="C103" s="1">
        <f t="shared" si="4"/>
        <v>1.7200000000000001E-18</v>
      </c>
      <c r="D103" s="1">
        <f t="shared" si="5"/>
        <v>41.699328000000008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810C-4A39-B242-97E0-A8124CADD235}">
  <dimension ref="A1:G701"/>
  <sheetViews>
    <sheetView zoomScale="160" zoomScaleNormal="160" workbookViewId="0">
      <selection activeCell="E4" sqref="A1:G51"/>
    </sheetView>
  </sheetViews>
  <sheetFormatPr baseColWidth="10" defaultRowHeight="16" x14ac:dyDescent="0.2"/>
  <cols>
    <col min="1" max="1" width="12" bestFit="1" customWidth="1"/>
    <col min="6" max="6" width="14.83203125" bestFit="1" customWidth="1"/>
    <col min="7" max="7" width="12" bestFit="1" customWidth="1"/>
  </cols>
  <sheetData>
    <row r="1" spans="1:7" x14ac:dyDescent="0.2">
      <c r="B1" t="s">
        <v>1</v>
      </c>
      <c r="C1" t="s">
        <v>12</v>
      </c>
      <c r="F1" t="s">
        <v>0</v>
      </c>
      <c r="G1" t="s">
        <v>11</v>
      </c>
    </row>
    <row r="2" spans="1:7" x14ac:dyDescent="0.2">
      <c r="A2" t="s">
        <v>13</v>
      </c>
      <c r="B2" s="1">
        <v>10400000</v>
      </c>
      <c r="C2" s="1">
        <f>1/SQRT(B2)</f>
        <v>3.1008683647302116E-4</v>
      </c>
      <c r="F2" s="3">
        <v>1E-3</v>
      </c>
      <c r="G2" s="5">
        <f>1/(F2^2)</f>
        <v>1000000</v>
      </c>
    </row>
    <row r="3" spans="1:7" x14ac:dyDescent="0.2">
      <c r="A3" t="s">
        <v>14</v>
      </c>
      <c r="B3" s="1">
        <v>13200000</v>
      </c>
      <c r="C3" s="1">
        <f>1/SQRT(B3)</f>
        <v>2.7524094128159016E-4</v>
      </c>
      <c r="F3" s="3">
        <v>2E-3</v>
      </c>
      <c r="G3" s="5">
        <f t="shared" ref="G3:G51" si="0">1/(F3^2)</f>
        <v>250000</v>
      </c>
    </row>
    <row r="4" spans="1:7" x14ac:dyDescent="0.2">
      <c r="B4" s="1"/>
      <c r="C4" s="1"/>
      <c r="D4" s="3"/>
      <c r="E4" s="3"/>
      <c r="F4" s="3">
        <v>3.0000000000000001E-3</v>
      </c>
      <c r="G4" s="5">
        <f t="shared" si="0"/>
        <v>111111.11111111111</v>
      </c>
    </row>
    <row r="5" spans="1:7" x14ac:dyDescent="0.2">
      <c r="A5" s="4" t="s">
        <v>16</v>
      </c>
      <c r="B5" s="4"/>
      <c r="C5" s="4"/>
      <c r="D5" s="4"/>
      <c r="F5" s="3">
        <v>4.0000000000000001E-3</v>
      </c>
      <c r="G5" s="5">
        <f t="shared" si="0"/>
        <v>62500</v>
      </c>
    </row>
    <row r="6" spans="1:7" x14ac:dyDescent="0.2">
      <c r="A6" t="s">
        <v>7</v>
      </c>
      <c r="B6" t="s">
        <v>8</v>
      </c>
      <c r="C6" t="s">
        <v>9</v>
      </c>
      <c r="D6" t="s">
        <v>10</v>
      </c>
      <c r="F6" s="3">
        <v>5.0000000000000001E-3</v>
      </c>
      <c r="G6" s="5">
        <f t="shared" si="0"/>
        <v>40000</v>
      </c>
    </row>
    <row r="7" spans="1:7" x14ac:dyDescent="0.2">
      <c r="A7" s="3">
        <v>6.59E-2</v>
      </c>
      <c r="B7" s="3">
        <v>6.4799999999999996E-2</v>
      </c>
      <c r="C7" s="3">
        <v>6.25E-2</v>
      </c>
      <c r="D7" s="3">
        <v>6.4399999999999999E-2</v>
      </c>
      <c r="F7" s="3">
        <v>6.0000000000000001E-3</v>
      </c>
      <c r="G7" s="5">
        <f t="shared" si="0"/>
        <v>27777.777777777777</v>
      </c>
    </row>
    <row r="8" spans="1:7" x14ac:dyDescent="0.2">
      <c r="A8" s="3">
        <v>5.6800000000000003E-2</v>
      </c>
      <c r="B8" s="3">
        <v>5.5399999999999998E-2</v>
      </c>
      <c r="C8" s="3">
        <v>5.28E-2</v>
      </c>
      <c r="D8" s="3">
        <v>5.4199999999999998E-2</v>
      </c>
      <c r="F8" s="3">
        <v>7.0000000000000001E-3</v>
      </c>
      <c r="G8" s="5">
        <f t="shared" si="0"/>
        <v>20408.163265306121</v>
      </c>
    </row>
    <row r="9" spans="1:7" x14ac:dyDescent="0.2">
      <c r="F9" s="3">
        <v>8.0000000000000002E-3</v>
      </c>
      <c r="G9" s="5">
        <f t="shared" si="0"/>
        <v>15625</v>
      </c>
    </row>
    <row r="10" spans="1:7" x14ac:dyDescent="0.2">
      <c r="A10" s="4" t="s">
        <v>15</v>
      </c>
      <c r="B10" s="4"/>
      <c r="C10" s="4"/>
      <c r="D10" s="4"/>
      <c r="F10" s="3">
        <v>8.9999999999999993E-3</v>
      </c>
      <c r="G10" s="5">
        <f t="shared" si="0"/>
        <v>12345.679012345681</v>
      </c>
    </row>
    <row r="11" spans="1:7" x14ac:dyDescent="0.2">
      <c r="A11" t="s">
        <v>7</v>
      </c>
      <c r="B11" t="s">
        <v>8</v>
      </c>
      <c r="C11" t="s">
        <v>9</v>
      </c>
      <c r="D11" t="s">
        <v>10</v>
      </c>
      <c r="F11" s="3">
        <v>0.01</v>
      </c>
      <c r="G11" s="5">
        <f t="shared" si="0"/>
        <v>10000</v>
      </c>
    </row>
    <row r="12" spans="1:7" x14ac:dyDescent="0.2">
      <c r="A12" s="1">
        <f>A7/$C$2</f>
        <v>212.52111424514976</v>
      </c>
      <c r="B12" s="1">
        <f>B7/$C$2</f>
        <v>208.97372083589838</v>
      </c>
      <c r="C12" s="1">
        <f>C7/$C$2</f>
        <v>201.55644370746373</v>
      </c>
      <c r="D12" s="1">
        <f>D7/$C$2</f>
        <v>207.68375959617063</v>
      </c>
      <c r="F12" s="3">
        <v>1.0999999999999999E-2</v>
      </c>
      <c r="G12" s="5">
        <f t="shared" si="0"/>
        <v>8264.4628099173569</v>
      </c>
    </row>
    <row r="13" spans="1:7" x14ac:dyDescent="0.2">
      <c r="A13" s="1">
        <f>A8/$C$3</f>
        <v>206.36464813528502</v>
      </c>
      <c r="B13" s="1">
        <f>B8/$C$3</f>
        <v>201.27819554040124</v>
      </c>
      <c r="C13" s="1">
        <f>C8/$C$3</f>
        <v>191.83192643561705</v>
      </c>
      <c r="D13" s="1">
        <f>D8/$C$3</f>
        <v>196.91837903050083</v>
      </c>
      <c r="F13" s="3">
        <v>1.2E-2</v>
      </c>
      <c r="G13" s="5">
        <f t="shared" si="0"/>
        <v>6944.4444444444443</v>
      </c>
    </row>
    <row r="14" spans="1:7" x14ac:dyDescent="0.2">
      <c r="F14" s="3">
        <v>1.2999999999999999E-2</v>
      </c>
      <c r="G14" s="5">
        <f t="shared" si="0"/>
        <v>5917.1597633136098</v>
      </c>
    </row>
    <row r="15" spans="1:7" x14ac:dyDescent="0.2">
      <c r="F15" s="3">
        <v>1.4E-2</v>
      </c>
      <c r="G15" s="5">
        <f t="shared" si="0"/>
        <v>5102.0408163265301</v>
      </c>
    </row>
    <row r="16" spans="1:7" x14ac:dyDescent="0.2">
      <c r="F16" s="3">
        <v>1.4999999999999999E-2</v>
      </c>
      <c r="G16" s="5">
        <f t="shared" si="0"/>
        <v>4444.4444444444443</v>
      </c>
    </row>
    <row r="17" spans="3:7" x14ac:dyDescent="0.2">
      <c r="F17" s="3">
        <v>1.6E-2</v>
      </c>
      <c r="G17" s="5">
        <f t="shared" si="0"/>
        <v>3906.25</v>
      </c>
    </row>
    <row r="18" spans="3:7" x14ac:dyDescent="0.2">
      <c r="C18" s="1"/>
      <c r="F18" s="3">
        <v>1.7000000000000001E-2</v>
      </c>
      <c r="G18" s="5">
        <f t="shared" si="0"/>
        <v>3460.207612456747</v>
      </c>
    </row>
    <row r="19" spans="3:7" x14ac:dyDescent="0.2">
      <c r="F19" s="3">
        <v>1.7999999999999999E-2</v>
      </c>
      <c r="G19" s="5">
        <f t="shared" si="0"/>
        <v>3086.4197530864203</v>
      </c>
    </row>
    <row r="20" spans="3:7" x14ac:dyDescent="0.2">
      <c r="F20" s="3">
        <v>1.9E-2</v>
      </c>
      <c r="G20" s="5">
        <f t="shared" si="0"/>
        <v>2770.0831024930749</v>
      </c>
    </row>
    <row r="21" spans="3:7" x14ac:dyDescent="0.2">
      <c r="F21" s="3">
        <v>0.02</v>
      </c>
      <c r="G21" s="5">
        <f t="shared" si="0"/>
        <v>2500</v>
      </c>
    </row>
    <row r="22" spans="3:7" x14ac:dyDescent="0.2">
      <c r="F22" s="3">
        <v>2.1000000000000001E-2</v>
      </c>
      <c r="G22" s="5">
        <f t="shared" si="0"/>
        <v>2267.5736961451244</v>
      </c>
    </row>
    <row r="23" spans="3:7" x14ac:dyDescent="0.2">
      <c r="F23" s="3">
        <v>2.1999999999999999E-2</v>
      </c>
      <c r="G23" s="5">
        <f t="shared" si="0"/>
        <v>2066.1157024793392</v>
      </c>
    </row>
    <row r="24" spans="3:7" x14ac:dyDescent="0.2">
      <c r="F24" s="3">
        <v>2.3E-2</v>
      </c>
      <c r="G24" s="5">
        <f t="shared" si="0"/>
        <v>1890.359168241966</v>
      </c>
    </row>
    <row r="25" spans="3:7" x14ac:dyDescent="0.2">
      <c r="F25" s="3">
        <v>2.4E-2</v>
      </c>
      <c r="G25" s="5">
        <f t="shared" si="0"/>
        <v>1736.1111111111111</v>
      </c>
    </row>
    <row r="26" spans="3:7" x14ac:dyDescent="0.2">
      <c r="F26" s="3">
        <v>2.5000000000000001E-2</v>
      </c>
      <c r="G26" s="5">
        <f t="shared" si="0"/>
        <v>1599.9999999999998</v>
      </c>
    </row>
    <row r="27" spans="3:7" x14ac:dyDescent="0.2">
      <c r="F27" s="3">
        <v>2.5999999999999999E-2</v>
      </c>
      <c r="G27" s="5">
        <f t="shared" si="0"/>
        <v>1479.2899408284025</v>
      </c>
    </row>
    <row r="28" spans="3:7" x14ac:dyDescent="0.2">
      <c r="F28" s="3">
        <v>2.7E-2</v>
      </c>
      <c r="G28" s="5">
        <f t="shared" si="0"/>
        <v>1371.7421124828534</v>
      </c>
    </row>
    <row r="29" spans="3:7" x14ac:dyDescent="0.2">
      <c r="F29" s="3">
        <v>2.8000000000000001E-2</v>
      </c>
      <c r="G29" s="5">
        <f t="shared" si="0"/>
        <v>1275.5102040816325</v>
      </c>
    </row>
    <row r="30" spans="3:7" x14ac:dyDescent="0.2">
      <c r="F30" s="3">
        <v>2.9000000000000001E-2</v>
      </c>
      <c r="G30" s="5">
        <f t="shared" si="0"/>
        <v>1189.0606420927465</v>
      </c>
    </row>
    <row r="31" spans="3:7" x14ac:dyDescent="0.2">
      <c r="F31" s="3">
        <v>0.03</v>
      </c>
      <c r="G31" s="5">
        <f t="shared" si="0"/>
        <v>1111.1111111111111</v>
      </c>
    </row>
    <row r="32" spans="3:7" x14ac:dyDescent="0.2">
      <c r="F32" s="3">
        <v>3.1E-2</v>
      </c>
      <c r="G32" s="5">
        <f t="shared" si="0"/>
        <v>1040.5827263267431</v>
      </c>
    </row>
    <row r="33" spans="6:7" x14ac:dyDescent="0.2">
      <c r="F33" s="3">
        <v>3.2000000000000001E-2</v>
      </c>
      <c r="G33" s="5">
        <f t="shared" si="0"/>
        <v>976.5625</v>
      </c>
    </row>
    <row r="34" spans="6:7" x14ac:dyDescent="0.2">
      <c r="F34" s="3">
        <v>3.3000000000000002E-2</v>
      </c>
      <c r="G34" s="5">
        <f t="shared" si="0"/>
        <v>918.27364554637268</v>
      </c>
    </row>
    <row r="35" spans="6:7" x14ac:dyDescent="0.2">
      <c r="F35" s="3">
        <v>3.4000000000000002E-2</v>
      </c>
      <c r="G35" s="5">
        <f t="shared" si="0"/>
        <v>865.05190311418676</v>
      </c>
    </row>
    <row r="36" spans="6:7" x14ac:dyDescent="0.2">
      <c r="F36" s="3">
        <v>3.5000000000000003E-2</v>
      </c>
      <c r="G36" s="5">
        <f t="shared" si="0"/>
        <v>816.32653061224482</v>
      </c>
    </row>
    <row r="37" spans="6:7" x14ac:dyDescent="0.2">
      <c r="F37" s="3">
        <v>3.5999999999999997E-2</v>
      </c>
      <c r="G37" s="5">
        <f t="shared" si="0"/>
        <v>771.60493827160508</v>
      </c>
    </row>
    <row r="38" spans="6:7" x14ac:dyDescent="0.2">
      <c r="F38" s="3">
        <v>3.6999999999999998E-2</v>
      </c>
      <c r="G38" s="5">
        <f t="shared" si="0"/>
        <v>730.46018991964945</v>
      </c>
    </row>
    <row r="39" spans="6:7" x14ac:dyDescent="0.2">
      <c r="F39" s="3">
        <v>3.7999999999999999E-2</v>
      </c>
      <c r="G39" s="5">
        <f t="shared" si="0"/>
        <v>692.52077562326872</v>
      </c>
    </row>
    <row r="40" spans="6:7" x14ac:dyDescent="0.2">
      <c r="F40" s="3">
        <v>3.9E-2</v>
      </c>
      <c r="G40" s="5">
        <f t="shared" si="0"/>
        <v>657.46219592373438</v>
      </c>
    </row>
    <row r="41" spans="6:7" x14ac:dyDescent="0.2">
      <c r="F41" s="3">
        <v>0.04</v>
      </c>
      <c r="G41" s="5">
        <f t="shared" si="0"/>
        <v>625</v>
      </c>
    </row>
    <row r="42" spans="6:7" x14ac:dyDescent="0.2">
      <c r="F42" s="3">
        <v>4.1000000000000002E-2</v>
      </c>
      <c r="G42" s="5">
        <f t="shared" si="0"/>
        <v>594.8839976204639</v>
      </c>
    </row>
    <row r="43" spans="6:7" x14ac:dyDescent="0.2">
      <c r="F43" s="3">
        <v>4.2000000000000003E-2</v>
      </c>
      <c r="G43" s="5">
        <f t="shared" si="0"/>
        <v>566.89342403628109</v>
      </c>
    </row>
    <row r="44" spans="6:7" x14ac:dyDescent="0.2">
      <c r="F44" s="3">
        <v>4.2999999999999997E-2</v>
      </c>
      <c r="G44" s="5">
        <f t="shared" si="0"/>
        <v>540.83288263926454</v>
      </c>
    </row>
    <row r="45" spans="6:7" x14ac:dyDescent="0.2">
      <c r="F45" s="3">
        <v>4.3999999999999997E-2</v>
      </c>
      <c r="G45" s="5">
        <f t="shared" si="0"/>
        <v>516.52892561983481</v>
      </c>
    </row>
    <row r="46" spans="6:7" x14ac:dyDescent="0.2">
      <c r="F46" s="3">
        <v>4.4999999999999998E-2</v>
      </c>
      <c r="G46" s="5">
        <f t="shared" si="0"/>
        <v>493.82716049382719</v>
      </c>
    </row>
    <row r="47" spans="6:7" x14ac:dyDescent="0.2">
      <c r="F47" s="3">
        <v>4.5999999999999999E-2</v>
      </c>
      <c r="G47" s="5">
        <f t="shared" si="0"/>
        <v>472.5897920604915</v>
      </c>
    </row>
    <row r="48" spans="6:7" x14ac:dyDescent="0.2">
      <c r="F48" s="3">
        <v>4.7E-2</v>
      </c>
      <c r="G48" s="5">
        <f t="shared" si="0"/>
        <v>452.69352648257131</v>
      </c>
    </row>
    <row r="49" spans="6:7" x14ac:dyDescent="0.2">
      <c r="F49" s="3">
        <v>4.8000000000000001E-2</v>
      </c>
      <c r="G49" s="5">
        <f t="shared" si="0"/>
        <v>434.02777777777777</v>
      </c>
    </row>
    <row r="50" spans="6:7" x14ac:dyDescent="0.2">
      <c r="F50" s="3">
        <v>4.9000000000000002E-2</v>
      </c>
      <c r="G50" s="5">
        <f t="shared" si="0"/>
        <v>416.49312786339021</v>
      </c>
    </row>
    <row r="51" spans="6:7" x14ac:dyDescent="0.2">
      <c r="F51" s="3">
        <v>0.05</v>
      </c>
      <c r="G51" s="5">
        <f t="shared" si="0"/>
        <v>399.99999999999994</v>
      </c>
    </row>
    <row r="52" spans="6:7" x14ac:dyDescent="0.2">
      <c r="F52" s="2"/>
    </row>
    <row r="53" spans="6:7" x14ac:dyDescent="0.2">
      <c r="F53" s="2"/>
    </row>
    <row r="54" spans="6:7" x14ac:dyDescent="0.2">
      <c r="F54" s="2"/>
    </row>
    <row r="55" spans="6:7" x14ac:dyDescent="0.2">
      <c r="F55" s="2"/>
    </row>
    <row r="56" spans="6:7" x14ac:dyDescent="0.2">
      <c r="F56" s="2"/>
    </row>
    <row r="57" spans="6:7" x14ac:dyDescent="0.2">
      <c r="F57" s="2"/>
    </row>
    <row r="58" spans="6:7" x14ac:dyDescent="0.2">
      <c r="F58" s="2"/>
    </row>
    <row r="59" spans="6:7" x14ac:dyDescent="0.2">
      <c r="F59" s="2"/>
    </row>
    <row r="60" spans="6:7" x14ac:dyDescent="0.2">
      <c r="F60" s="2"/>
    </row>
    <row r="61" spans="6:7" x14ac:dyDescent="0.2">
      <c r="F61" s="2"/>
    </row>
    <row r="62" spans="6:7" x14ac:dyDescent="0.2">
      <c r="F62" s="2"/>
    </row>
    <row r="63" spans="6:7" x14ac:dyDescent="0.2">
      <c r="F63" s="2"/>
    </row>
    <row r="64" spans="6:7" x14ac:dyDescent="0.2">
      <c r="F64" s="2"/>
    </row>
    <row r="65" spans="6:6" x14ac:dyDescent="0.2">
      <c r="F65" s="2"/>
    </row>
    <row r="66" spans="6:6" x14ac:dyDescent="0.2">
      <c r="F66" s="2"/>
    </row>
    <row r="67" spans="6:6" x14ac:dyDescent="0.2">
      <c r="F67" s="2"/>
    </row>
    <row r="68" spans="6:6" x14ac:dyDescent="0.2">
      <c r="F68" s="2"/>
    </row>
    <row r="69" spans="6:6" x14ac:dyDescent="0.2">
      <c r="F69" s="2"/>
    </row>
    <row r="70" spans="6:6" x14ac:dyDescent="0.2">
      <c r="F70" s="2"/>
    </row>
    <row r="71" spans="6:6" x14ac:dyDescent="0.2">
      <c r="F71" s="2"/>
    </row>
    <row r="72" spans="6:6" x14ac:dyDescent="0.2">
      <c r="F72" s="2"/>
    </row>
    <row r="73" spans="6:6" x14ac:dyDescent="0.2">
      <c r="F73" s="2"/>
    </row>
    <row r="74" spans="6:6" x14ac:dyDescent="0.2">
      <c r="F74" s="2"/>
    </row>
    <row r="75" spans="6:6" x14ac:dyDescent="0.2">
      <c r="F75" s="2"/>
    </row>
    <row r="76" spans="6:6" x14ac:dyDescent="0.2">
      <c r="F76" s="2"/>
    </row>
    <row r="77" spans="6:6" x14ac:dyDescent="0.2">
      <c r="F77" s="2"/>
    </row>
    <row r="78" spans="6:6" x14ac:dyDescent="0.2">
      <c r="F78" s="2"/>
    </row>
    <row r="79" spans="6:6" x14ac:dyDescent="0.2">
      <c r="F79" s="2"/>
    </row>
    <row r="80" spans="6:6" x14ac:dyDescent="0.2">
      <c r="F80" s="2"/>
    </row>
    <row r="81" spans="6:6" x14ac:dyDescent="0.2">
      <c r="F81" s="2"/>
    </row>
    <row r="82" spans="6:6" x14ac:dyDescent="0.2">
      <c r="F82" s="2"/>
    </row>
    <row r="83" spans="6:6" x14ac:dyDescent="0.2">
      <c r="F83" s="2"/>
    </row>
    <row r="84" spans="6:6" x14ac:dyDescent="0.2">
      <c r="F84" s="2"/>
    </row>
    <row r="85" spans="6:6" x14ac:dyDescent="0.2">
      <c r="F85" s="2"/>
    </row>
    <row r="86" spans="6:6" x14ac:dyDescent="0.2">
      <c r="F86" s="2"/>
    </row>
    <row r="87" spans="6:6" x14ac:dyDescent="0.2">
      <c r="F87" s="2"/>
    </row>
    <row r="88" spans="6:6" x14ac:dyDescent="0.2">
      <c r="F88" s="2"/>
    </row>
    <row r="89" spans="6:6" x14ac:dyDescent="0.2">
      <c r="F89" s="2"/>
    </row>
    <row r="90" spans="6:6" x14ac:dyDescent="0.2">
      <c r="F90" s="2"/>
    </row>
    <row r="91" spans="6:6" x14ac:dyDescent="0.2">
      <c r="F91" s="2"/>
    </row>
    <row r="92" spans="6:6" x14ac:dyDescent="0.2">
      <c r="F92" s="2"/>
    </row>
    <row r="93" spans="6:6" x14ac:dyDescent="0.2">
      <c r="F93" s="2"/>
    </row>
    <row r="94" spans="6:6" x14ac:dyDescent="0.2">
      <c r="F94" s="2"/>
    </row>
    <row r="95" spans="6:6" x14ac:dyDescent="0.2">
      <c r="F95" s="2"/>
    </row>
    <row r="96" spans="6:6" x14ac:dyDescent="0.2">
      <c r="F96" s="2"/>
    </row>
    <row r="97" spans="6:6" x14ac:dyDescent="0.2">
      <c r="F97" s="2"/>
    </row>
    <row r="98" spans="6:6" x14ac:dyDescent="0.2">
      <c r="F98" s="2"/>
    </row>
    <row r="99" spans="6:6" x14ac:dyDescent="0.2">
      <c r="F99" s="2"/>
    </row>
    <row r="100" spans="6:6" x14ac:dyDescent="0.2">
      <c r="F100" s="2"/>
    </row>
    <row r="101" spans="6:6" x14ac:dyDescent="0.2">
      <c r="F101" s="2"/>
    </row>
    <row r="102" spans="6:6" x14ac:dyDescent="0.2">
      <c r="F102" s="2"/>
    </row>
    <row r="103" spans="6:6" x14ac:dyDescent="0.2">
      <c r="F103" s="2"/>
    </row>
    <row r="104" spans="6:6" x14ac:dyDescent="0.2">
      <c r="F104" s="2"/>
    </row>
    <row r="105" spans="6:6" x14ac:dyDescent="0.2">
      <c r="F105" s="2"/>
    </row>
    <row r="106" spans="6:6" x14ac:dyDescent="0.2">
      <c r="F106" s="2"/>
    </row>
    <row r="107" spans="6:6" x14ac:dyDescent="0.2">
      <c r="F107" s="2"/>
    </row>
    <row r="108" spans="6:6" x14ac:dyDescent="0.2">
      <c r="F108" s="2"/>
    </row>
    <row r="109" spans="6:6" x14ac:dyDescent="0.2">
      <c r="F109" s="2"/>
    </row>
    <row r="110" spans="6:6" x14ac:dyDescent="0.2">
      <c r="F110" s="2"/>
    </row>
    <row r="111" spans="6:6" x14ac:dyDescent="0.2">
      <c r="F111" s="2"/>
    </row>
    <row r="112" spans="6:6" x14ac:dyDescent="0.2">
      <c r="F112" s="2"/>
    </row>
    <row r="113" spans="6:6" x14ac:dyDescent="0.2">
      <c r="F113" s="2"/>
    </row>
    <row r="114" spans="6:6" x14ac:dyDescent="0.2">
      <c r="F114" s="2"/>
    </row>
    <row r="115" spans="6:6" x14ac:dyDescent="0.2">
      <c r="F115" s="2"/>
    </row>
    <row r="116" spans="6:6" x14ac:dyDescent="0.2">
      <c r="F116" s="2"/>
    </row>
    <row r="117" spans="6:6" x14ac:dyDescent="0.2">
      <c r="F117" s="2"/>
    </row>
    <row r="118" spans="6:6" x14ac:dyDescent="0.2">
      <c r="F118" s="2"/>
    </row>
    <row r="119" spans="6:6" x14ac:dyDescent="0.2">
      <c r="F119" s="2"/>
    </row>
    <row r="120" spans="6:6" x14ac:dyDescent="0.2">
      <c r="F120" s="2"/>
    </row>
    <row r="121" spans="6:6" x14ac:dyDescent="0.2">
      <c r="F121" s="2"/>
    </row>
    <row r="122" spans="6:6" x14ac:dyDescent="0.2">
      <c r="F122" s="2"/>
    </row>
    <row r="123" spans="6:6" x14ac:dyDescent="0.2">
      <c r="F123" s="2"/>
    </row>
    <row r="124" spans="6:6" x14ac:dyDescent="0.2">
      <c r="F124" s="2"/>
    </row>
    <row r="125" spans="6:6" x14ac:dyDescent="0.2">
      <c r="F125" s="2"/>
    </row>
    <row r="126" spans="6:6" x14ac:dyDescent="0.2">
      <c r="F126" s="2"/>
    </row>
    <row r="127" spans="6:6" x14ac:dyDescent="0.2">
      <c r="F127" s="2"/>
    </row>
    <row r="128" spans="6:6" x14ac:dyDescent="0.2">
      <c r="F128" s="2"/>
    </row>
    <row r="129" spans="6:6" x14ac:dyDescent="0.2">
      <c r="F129" s="2"/>
    </row>
    <row r="130" spans="6:6" x14ac:dyDescent="0.2">
      <c r="F130" s="2"/>
    </row>
    <row r="131" spans="6:6" x14ac:dyDescent="0.2">
      <c r="F131" s="2"/>
    </row>
    <row r="132" spans="6:6" x14ac:dyDescent="0.2">
      <c r="F132" s="2"/>
    </row>
    <row r="133" spans="6:6" x14ac:dyDescent="0.2">
      <c r="F133" s="2"/>
    </row>
    <row r="134" spans="6:6" x14ac:dyDescent="0.2">
      <c r="F134" s="2"/>
    </row>
    <row r="135" spans="6:6" x14ac:dyDescent="0.2">
      <c r="F135" s="2"/>
    </row>
    <row r="136" spans="6:6" x14ac:dyDescent="0.2">
      <c r="F136" s="2"/>
    </row>
    <row r="137" spans="6:6" x14ac:dyDescent="0.2">
      <c r="F137" s="2"/>
    </row>
    <row r="138" spans="6:6" x14ac:dyDescent="0.2">
      <c r="F138" s="2"/>
    </row>
    <row r="139" spans="6:6" x14ac:dyDescent="0.2">
      <c r="F139" s="2"/>
    </row>
    <row r="140" spans="6:6" x14ac:dyDescent="0.2">
      <c r="F140" s="2"/>
    </row>
    <row r="141" spans="6:6" x14ac:dyDescent="0.2">
      <c r="F141" s="2"/>
    </row>
    <row r="142" spans="6:6" x14ac:dyDescent="0.2">
      <c r="F142" s="2"/>
    </row>
    <row r="143" spans="6:6" x14ac:dyDescent="0.2">
      <c r="F143" s="2"/>
    </row>
    <row r="144" spans="6:6" x14ac:dyDescent="0.2">
      <c r="F144" s="2"/>
    </row>
    <row r="145" spans="6:6" x14ac:dyDescent="0.2">
      <c r="F145" s="2"/>
    </row>
    <row r="146" spans="6:6" x14ac:dyDescent="0.2">
      <c r="F146" s="2"/>
    </row>
    <row r="147" spans="6:6" x14ac:dyDescent="0.2">
      <c r="F147" s="2"/>
    </row>
    <row r="148" spans="6:6" x14ac:dyDescent="0.2">
      <c r="F148" s="2"/>
    </row>
    <row r="149" spans="6:6" x14ac:dyDescent="0.2">
      <c r="F149" s="2"/>
    </row>
    <row r="150" spans="6:6" x14ac:dyDescent="0.2">
      <c r="F150" s="2"/>
    </row>
    <row r="151" spans="6:6" x14ac:dyDescent="0.2">
      <c r="F151" s="2"/>
    </row>
    <row r="152" spans="6:6" x14ac:dyDescent="0.2">
      <c r="F152" s="2"/>
    </row>
    <row r="153" spans="6:6" x14ac:dyDescent="0.2">
      <c r="F153" s="2"/>
    </row>
    <row r="154" spans="6:6" x14ac:dyDescent="0.2">
      <c r="F154" s="2"/>
    </row>
    <row r="155" spans="6:6" x14ac:dyDescent="0.2">
      <c r="F155" s="2"/>
    </row>
    <row r="156" spans="6:6" x14ac:dyDescent="0.2">
      <c r="F156" s="2"/>
    </row>
    <row r="157" spans="6:6" x14ac:dyDescent="0.2">
      <c r="F157" s="2"/>
    </row>
    <row r="158" spans="6:6" x14ac:dyDescent="0.2">
      <c r="F158" s="2"/>
    </row>
    <row r="159" spans="6:6" x14ac:dyDescent="0.2">
      <c r="F159" s="2"/>
    </row>
    <row r="160" spans="6:6" x14ac:dyDescent="0.2">
      <c r="F160" s="2"/>
    </row>
    <row r="161" spans="6:6" x14ac:dyDescent="0.2">
      <c r="F161" s="2"/>
    </row>
    <row r="162" spans="6:6" x14ac:dyDescent="0.2">
      <c r="F162" s="2"/>
    </row>
    <row r="163" spans="6:6" x14ac:dyDescent="0.2">
      <c r="F163" s="2"/>
    </row>
    <row r="164" spans="6:6" x14ac:dyDescent="0.2">
      <c r="F164" s="2"/>
    </row>
    <row r="165" spans="6:6" x14ac:dyDescent="0.2">
      <c r="F165" s="2"/>
    </row>
    <row r="166" spans="6:6" x14ac:dyDescent="0.2">
      <c r="F166" s="2"/>
    </row>
    <row r="167" spans="6:6" x14ac:dyDescent="0.2">
      <c r="F167" s="2"/>
    </row>
    <row r="168" spans="6:6" x14ac:dyDescent="0.2">
      <c r="F168" s="2"/>
    </row>
    <row r="169" spans="6:6" x14ac:dyDescent="0.2">
      <c r="F169" s="2"/>
    </row>
    <row r="170" spans="6:6" x14ac:dyDescent="0.2">
      <c r="F170" s="2"/>
    </row>
    <row r="171" spans="6:6" x14ac:dyDescent="0.2">
      <c r="F171" s="2"/>
    </row>
    <row r="172" spans="6:6" x14ac:dyDescent="0.2">
      <c r="F172" s="2"/>
    </row>
    <row r="173" spans="6:6" x14ac:dyDescent="0.2">
      <c r="F173" s="2"/>
    </row>
    <row r="174" spans="6:6" x14ac:dyDescent="0.2">
      <c r="F174" s="2"/>
    </row>
    <row r="175" spans="6:6" x14ac:dyDescent="0.2">
      <c r="F175" s="2"/>
    </row>
    <row r="176" spans="6:6" x14ac:dyDescent="0.2">
      <c r="F176" s="2"/>
    </row>
    <row r="177" spans="6:6" x14ac:dyDescent="0.2">
      <c r="F177" s="2"/>
    </row>
    <row r="178" spans="6:6" x14ac:dyDescent="0.2">
      <c r="F178" s="2"/>
    </row>
    <row r="179" spans="6:6" x14ac:dyDescent="0.2">
      <c r="F179" s="2"/>
    </row>
    <row r="180" spans="6:6" x14ac:dyDescent="0.2">
      <c r="F180" s="2"/>
    </row>
    <row r="181" spans="6:6" x14ac:dyDescent="0.2">
      <c r="F181" s="2"/>
    </row>
    <row r="182" spans="6:6" x14ac:dyDescent="0.2">
      <c r="F182" s="2"/>
    </row>
    <row r="183" spans="6:6" x14ac:dyDescent="0.2">
      <c r="F183" s="2"/>
    </row>
    <row r="184" spans="6:6" x14ac:dyDescent="0.2">
      <c r="F184" s="2"/>
    </row>
    <row r="185" spans="6:6" x14ac:dyDescent="0.2">
      <c r="F185" s="2"/>
    </row>
    <row r="186" spans="6:6" x14ac:dyDescent="0.2">
      <c r="F186" s="2"/>
    </row>
    <row r="187" spans="6:6" x14ac:dyDescent="0.2">
      <c r="F187" s="2"/>
    </row>
    <row r="188" spans="6:6" x14ac:dyDescent="0.2">
      <c r="F188" s="2"/>
    </row>
    <row r="189" spans="6:6" x14ac:dyDescent="0.2">
      <c r="F189" s="2"/>
    </row>
    <row r="190" spans="6:6" x14ac:dyDescent="0.2">
      <c r="F190" s="2"/>
    </row>
    <row r="191" spans="6:6" x14ac:dyDescent="0.2">
      <c r="F191" s="2"/>
    </row>
    <row r="192" spans="6:6" x14ac:dyDescent="0.2">
      <c r="F192" s="2"/>
    </row>
    <row r="193" spans="6:6" x14ac:dyDescent="0.2">
      <c r="F193" s="2"/>
    </row>
    <row r="194" spans="6:6" x14ac:dyDescent="0.2">
      <c r="F194" s="2"/>
    </row>
    <row r="195" spans="6:6" x14ac:dyDescent="0.2">
      <c r="F195" s="2"/>
    </row>
    <row r="196" spans="6:6" x14ac:dyDescent="0.2">
      <c r="F196" s="2"/>
    </row>
    <row r="197" spans="6:6" x14ac:dyDescent="0.2">
      <c r="F197" s="2"/>
    </row>
    <row r="198" spans="6:6" x14ac:dyDescent="0.2">
      <c r="F198" s="2"/>
    </row>
    <row r="199" spans="6:6" x14ac:dyDescent="0.2">
      <c r="F199" s="2"/>
    </row>
    <row r="200" spans="6:6" x14ac:dyDescent="0.2">
      <c r="F200" s="2"/>
    </row>
    <row r="201" spans="6:6" x14ac:dyDescent="0.2">
      <c r="F201" s="2"/>
    </row>
    <row r="202" spans="6:6" x14ac:dyDescent="0.2">
      <c r="F202" s="2"/>
    </row>
    <row r="203" spans="6:6" x14ac:dyDescent="0.2">
      <c r="F203" s="2"/>
    </row>
    <row r="204" spans="6:6" x14ac:dyDescent="0.2">
      <c r="F204" s="2"/>
    </row>
    <row r="205" spans="6:6" x14ac:dyDescent="0.2">
      <c r="F205" s="2"/>
    </row>
    <row r="206" spans="6:6" x14ac:dyDescent="0.2">
      <c r="F206" s="2"/>
    </row>
    <row r="207" spans="6:6" x14ac:dyDescent="0.2">
      <c r="F207" s="2"/>
    </row>
    <row r="208" spans="6:6" x14ac:dyDescent="0.2">
      <c r="F208" s="2"/>
    </row>
    <row r="209" spans="6:6" x14ac:dyDescent="0.2">
      <c r="F209" s="2"/>
    </row>
    <row r="210" spans="6:6" x14ac:dyDescent="0.2">
      <c r="F210" s="2"/>
    </row>
    <row r="211" spans="6:6" x14ac:dyDescent="0.2">
      <c r="F211" s="2"/>
    </row>
    <row r="212" spans="6:6" x14ac:dyDescent="0.2">
      <c r="F212" s="2"/>
    </row>
    <row r="213" spans="6:6" x14ac:dyDescent="0.2">
      <c r="F213" s="2"/>
    </row>
    <row r="214" spans="6:6" x14ac:dyDescent="0.2">
      <c r="F214" s="2"/>
    </row>
    <row r="215" spans="6:6" x14ac:dyDescent="0.2">
      <c r="F215" s="2"/>
    </row>
    <row r="216" spans="6:6" x14ac:dyDescent="0.2">
      <c r="F216" s="2"/>
    </row>
    <row r="217" spans="6:6" x14ac:dyDescent="0.2">
      <c r="F217" s="2"/>
    </row>
    <row r="218" spans="6:6" x14ac:dyDescent="0.2">
      <c r="F218" s="2"/>
    </row>
    <row r="219" spans="6:6" x14ac:dyDescent="0.2">
      <c r="F219" s="2"/>
    </row>
    <row r="220" spans="6:6" x14ac:dyDescent="0.2">
      <c r="F220" s="2"/>
    </row>
    <row r="221" spans="6:6" x14ac:dyDescent="0.2">
      <c r="F221" s="2"/>
    </row>
    <row r="222" spans="6:6" x14ac:dyDescent="0.2">
      <c r="F222" s="2"/>
    </row>
    <row r="223" spans="6:6" x14ac:dyDescent="0.2">
      <c r="F223" s="2"/>
    </row>
    <row r="224" spans="6:6" x14ac:dyDescent="0.2">
      <c r="F224" s="2"/>
    </row>
    <row r="225" spans="6:6" x14ac:dyDescent="0.2">
      <c r="F225" s="2"/>
    </row>
    <row r="226" spans="6:6" x14ac:dyDescent="0.2">
      <c r="F226" s="2"/>
    </row>
    <row r="227" spans="6:6" x14ac:dyDescent="0.2">
      <c r="F227" s="2"/>
    </row>
    <row r="228" spans="6:6" x14ac:dyDescent="0.2">
      <c r="F228" s="2"/>
    </row>
    <row r="229" spans="6:6" x14ac:dyDescent="0.2">
      <c r="F229" s="2"/>
    </row>
    <row r="230" spans="6:6" x14ac:dyDescent="0.2">
      <c r="F230" s="2"/>
    </row>
    <row r="231" spans="6:6" x14ac:dyDescent="0.2">
      <c r="F231" s="2"/>
    </row>
    <row r="232" spans="6:6" x14ac:dyDescent="0.2">
      <c r="F232" s="2"/>
    </row>
    <row r="233" spans="6:6" x14ac:dyDescent="0.2">
      <c r="F233" s="2"/>
    </row>
    <row r="234" spans="6:6" x14ac:dyDescent="0.2">
      <c r="F234" s="2"/>
    </row>
    <row r="235" spans="6:6" x14ac:dyDescent="0.2">
      <c r="F235" s="2"/>
    </row>
    <row r="236" spans="6:6" x14ac:dyDescent="0.2">
      <c r="F236" s="2"/>
    </row>
    <row r="237" spans="6:6" x14ac:dyDescent="0.2">
      <c r="F237" s="2"/>
    </row>
    <row r="238" spans="6:6" x14ac:dyDescent="0.2">
      <c r="F238" s="2"/>
    </row>
    <row r="239" spans="6:6" x14ac:dyDescent="0.2">
      <c r="F239" s="2"/>
    </row>
    <row r="240" spans="6:6" x14ac:dyDescent="0.2">
      <c r="F240" s="2"/>
    </row>
    <row r="241" spans="6:6" x14ac:dyDescent="0.2">
      <c r="F241" s="2"/>
    </row>
    <row r="242" spans="6:6" x14ac:dyDescent="0.2">
      <c r="F242" s="2"/>
    </row>
    <row r="243" spans="6:6" x14ac:dyDescent="0.2">
      <c r="F243" s="2"/>
    </row>
    <row r="244" spans="6:6" x14ac:dyDescent="0.2">
      <c r="F244" s="2"/>
    </row>
    <row r="245" spans="6:6" x14ac:dyDescent="0.2">
      <c r="F245" s="2"/>
    </row>
    <row r="246" spans="6:6" x14ac:dyDescent="0.2">
      <c r="F246" s="2"/>
    </row>
    <row r="247" spans="6:6" x14ac:dyDescent="0.2">
      <c r="F247" s="2"/>
    </row>
    <row r="248" spans="6:6" x14ac:dyDescent="0.2">
      <c r="F248" s="2"/>
    </row>
    <row r="249" spans="6:6" x14ac:dyDescent="0.2">
      <c r="F249" s="2"/>
    </row>
    <row r="250" spans="6:6" x14ac:dyDescent="0.2">
      <c r="F250" s="2"/>
    </row>
    <row r="251" spans="6:6" x14ac:dyDescent="0.2">
      <c r="F251" s="2"/>
    </row>
    <row r="252" spans="6:6" x14ac:dyDescent="0.2">
      <c r="F252" s="2"/>
    </row>
    <row r="253" spans="6:6" x14ac:dyDescent="0.2">
      <c r="F253" s="2"/>
    </row>
    <row r="254" spans="6:6" x14ac:dyDescent="0.2">
      <c r="F254" s="2"/>
    </row>
    <row r="255" spans="6:6" x14ac:dyDescent="0.2">
      <c r="F255" s="2"/>
    </row>
    <row r="256" spans="6:6" x14ac:dyDescent="0.2">
      <c r="F256" s="2"/>
    </row>
    <row r="257" spans="6:6" x14ac:dyDescent="0.2">
      <c r="F257" s="2"/>
    </row>
    <row r="258" spans="6:6" x14ac:dyDescent="0.2">
      <c r="F258" s="2"/>
    </row>
    <row r="259" spans="6:6" x14ac:dyDescent="0.2">
      <c r="F259" s="2"/>
    </row>
    <row r="260" spans="6:6" x14ac:dyDescent="0.2">
      <c r="F260" s="2"/>
    </row>
    <row r="261" spans="6:6" x14ac:dyDescent="0.2">
      <c r="F261" s="2"/>
    </row>
    <row r="262" spans="6:6" x14ac:dyDescent="0.2">
      <c r="F262" s="2"/>
    </row>
    <row r="263" spans="6:6" x14ac:dyDescent="0.2">
      <c r="F263" s="2"/>
    </row>
    <row r="264" spans="6:6" x14ac:dyDescent="0.2">
      <c r="F264" s="2"/>
    </row>
    <row r="265" spans="6:6" x14ac:dyDescent="0.2">
      <c r="F265" s="2"/>
    </row>
    <row r="266" spans="6:6" x14ac:dyDescent="0.2">
      <c r="F266" s="2"/>
    </row>
    <row r="267" spans="6:6" x14ac:dyDescent="0.2">
      <c r="F267" s="2"/>
    </row>
    <row r="268" spans="6:6" x14ac:dyDescent="0.2">
      <c r="F268" s="2"/>
    </row>
    <row r="269" spans="6:6" x14ac:dyDescent="0.2">
      <c r="F269" s="2"/>
    </row>
    <row r="270" spans="6:6" x14ac:dyDescent="0.2">
      <c r="F270" s="2"/>
    </row>
    <row r="271" spans="6:6" x14ac:dyDescent="0.2">
      <c r="F271" s="2"/>
    </row>
    <row r="272" spans="6:6" x14ac:dyDescent="0.2">
      <c r="F272" s="2"/>
    </row>
    <row r="273" spans="6:6" x14ac:dyDescent="0.2">
      <c r="F273" s="2"/>
    </row>
    <row r="274" spans="6:6" x14ac:dyDescent="0.2">
      <c r="F274" s="2"/>
    </row>
    <row r="275" spans="6:6" x14ac:dyDescent="0.2">
      <c r="F275" s="2"/>
    </row>
    <row r="276" spans="6:6" x14ac:dyDescent="0.2">
      <c r="F276" s="2"/>
    </row>
    <row r="277" spans="6:6" x14ac:dyDescent="0.2">
      <c r="F277" s="2"/>
    </row>
    <row r="278" spans="6:6" x14ac:dyDescent="0.2">
      <c r="F278" s="2"/>
    </row>
    <row r="279" spans="6:6" x14ac:dyDescent="0.2">
      <c r="F279" s="2"/>
    </row>
    <row r="280" spans="6:6" x14ac:dyDescent="0.2">
      <c r="F280" s="2"/>
    </row>
    <row r="281" spans="6:6" x14ac:dyDescent="0.2">
      <c r="F281" s="2"/>
    </row>
    <row r="282" spans="6:6" x14ac:dyDescent="0.2">
      <c r="F282" s="2"/>
    </row>
    <row r="283" spans="6:6" x14ac:dyDescent="0.2">
      <c r="F283" s="2"/>
    </row>
    <row r="284" spans="6:6" x14ac:dyDescent="0.2">
      <c r="F284" s="2"/>
    </row>
    <row r="285" spans="6:6" x14ac:dyDescent="0.2">
      <c r="F285" s="2"/>
    </row>
    <row r="286" spans="6:6" x14ac:dyDescent="0.2">
      <c r="F286" s="2"/>
    </row>
    <row r="287" spans="6:6" x14ac:dyDescent="0.2">
      <c r="F287" s="2"/>
    </row>
    <row r="288" spans="6:6" x14ac:dyDescent="0.2">
      <c r="F288" s="2"/>
    </row>
    <row r="289" spans="6:6" x14ac:dyDescent="0.2">
      <c r="F289" s="2"/>
    </row>
    <row r="290" spans="6:6" x14ac:dyDescent="0.2">
      <c r="F290" s="2"/>
    </row>
    <row r="291" spans="6:6" x14ac:dyDescent="0.2">
      <c r="F291" s="2"/>
    </row>
    <row r="292" spans="6:6" x14ac:dyDescent="0.2">
      <c r="F292" s="2"/>
    </row>
    <row r="293" spans="6:6" x14ac:dyDescent="0.2">
      <c r="F293" s="2"/>
    </row>
    <row r="294" spans="6:6" x14ac:dyDescent="0.2">
      <c r="F294" s="2"/>
    </row>
    <row r="295" spans="6:6" x14ac:dyDescent="0.2">
      <c r="F295" s="2"/>
    </row>
    <row r="296" spans="6:6" x14ac:dyDescent="0.2">
      <c r="F296" s="2"/>
    </row>
    <row r="297" spans="6:6" x14ac:dyDescent="0.2">
      <c r="F297" s="2"/>
    </row>
    <row r="298" spans="6:6" x14ac:dyDescent="0.2">
      <c r="F298" s="2"/>
    </row>
    <row r="299" spans="6:6" x14ac:dyDescent="0.2">
      <c r="F299" s="2"/>
    </row>
    <row r="300" spans="6:6" x14ac:dyDescent="0.2">
      <c r="F300" s="2"/>
    </row>
    <row r="301" spans="6:6" x14ac:dyDescent="0.2">
      <c r="F301" s="2"/>
    </row>
    <row r="302" spans="6:6" x14ac:dyDescent="0.2">
      <c r="F302" s="2"/>
    </row>
    <row r="303" spans="6:6" x14ac:dyDescent="0.2">
      <c r="F303" s="2"/>
    </row>
    <row r="304" spans="6:6" x14ac:dyDescent="0.2">
      <c r="F304" s="2"/>
    </row>
    <row r="305" spans="6:6" x14ac:dyDescent="0.2">
      <c r="F305" s="2"/>
    </row>
    <row r="306" spans="6:6" x14ac:dyDescent="0.2">
      <c r="F306" s="2"/>
    </row>
    <row r="307" spans="6:6" x14ac:dyDescent="0.2">
      <c r="F307" s="2"/>
    </row>
    <row r="308" spans="6:6" x14ac:dyDescent="0.2">
      <c r="F308" s="2"/>
    </row>
    <row r="309" spans="6:6" x14ac:dyDescent="0.2">
      <c r="F309" s="2"/>
    </row>
    <row r="310" spans="6:6" x14ac:dyDescent="0.2">
      <c r="F310" s="2"/>
    </row>
    <row r="311" spans="6:6" x14ac:dyDescent="0.2">
      <c r="F311" s="2"/>
    </row>
    <row r="312" spans="6:6" x14ac:dyDescent="0.2">
      <c r="F312" s="2"/>
    </row>
    <row r="313" spans="6:6" x14ac:dyDescent="0.2">
      <c r="F313" s="2"/>
    </row>
    <row r="314" spans="6:6" x14ac:dyDescent="0.2">
      <c r="F314" s="2"/>
    </row>
    <row r="315" spans="6:6" x14ac:dyDescent="0.2">
      <c r="F315" s="2"/>
    </row>
    <row r="316" spans="6:6" x14ac:dyDescent="0.2">
      <c r="F316" s="2"/>
    </row>
    <row r="317" spans="6:6" x14ac:dyDescent="0.2">
      <c r="F317" s="2"/>
    </row>
    <row r="318" spans="6:6" x14ac:dyDescent="0.2">
      <c r="F318" s="2"/>
    </row>
    <row r="319" spans="6:6" x14ac:dyDescent="0.2">
      <c r="F319" s="2"/>
    </row>
    <row r="320" spans="6:6" x14ac:dyDescent="0.2">
      <c r="F320" s="2"/>
    </row>
    <row r="321" spans="6:6" x14ac:dyDescent="0.2">
      <c r="F321" s="2"/>
    </row>
    <row r="322" spans="6:6" x14ac:dyDescent="0.2">
      <c r="F322" s="2"/>
    </row>
    <row r="323" spans="6:6" x14ac:dyDescent="0.2">
      <c r="F323" s="2"/>
    </row>
    <row r="324" spans="6:6" x14ac:dyDescent="0.2">
      <c r="F324" s="2"/>
    </row>
    <row r="325" spans="6:6" x14ac:dyDescent="0.2">
      <c r="F325" s="2"/>
    </row>
    <row r="326" spans="6:6" x14ac:dyDescent="0.2">
      <c r="F326" s="2"/>
    </row>
    <row r="327" spans="6:6" x14ac:dyDescent="0.2">
      <c r="F327" s="2"/>
    </row>
    <row r="328" spans="6:6" x14ac:dyDescent="0.2">
      <c r="F328" s="2"/>
    </row>
    <row r="329" spans="6:6" x14ac:dyDescent="0.2">
      <c r="F329" s="2"/>
    </row>
    <row r="330" spans="6:6" x14ac:dyDescent="0.2">
      <c r="F330" s="2"/>
    </row>
    <row r="331" spans="6:6" x14ac:dyDescent="0.2">
      <c r="F331" s="2"/>
    </row>
    <row r="332" spans="6:6" x14ac:dyDescent="0.2">
      <c r="F332" s="2"/>
    </row>
    <row r="333" spans="6:6" x14ac:dyDescent="0.2">
      <c r="F333" s="2"/>
    </row>
    <row r="334" spans="6:6" x14ac:dyDescent="0.2">
      <c r="F334" s="2"/>
    </row>
    <row r="335" spans="6:6" x14ac:dyDescent="0.2">
      <c r="F335" s="2"/>
    </row>
    <row r="336" spans="6:6" x14ac:dyDescent="0.2">
      <c r="F336" s="2"/>
    </row>
    <row r="337" spans="6:6" x14ac:dyDescent="0.2">
      <c r="F337" s="2"/>
    </row>
    <row r="338" spans="6:6" x14ac:dyDescent="0.2">
      <c r="F338" s="2"/>
    </row>
    <row r="339" spans="6:6" x14ac:dyDescent="0.2">
      <c r="F339" s="2"/>
    </row>
    <row r="340" spans="6:6" x14ac:dyDescent="0.2">
      <c r="F340" s="2"/>
    </row>
    <row r="341" spans="6:6" x14ac:dyDescent="0.2">
      <c r="F341" s="2"/>
    </row>
    <row r="342" spans="6:6" x14ac:dyDescent="0.2">
      <c r="F342" s="2"/>
    </row>
    <row r="343" spans="6:6" x14ac:dyDescent="0.2">
      <c r="F343" s="2"/>
    </row>
    <row r="344" spans="6:6" x14ac:dyDescent="0.2">
      <c r="F344" s="2"/>
    </row>
    <row r="345" spans="6:6" x14ac:dyDescent="0.2">
      <c r="F345" s="2"/>
    </row>
    <row r="346" spans="6:6" x14ac:dyDescent="0.2">
      <c r="F346" s="2"/>
    </row>
    <row r="347" spans="6:6" x14ac:dyDescent="0.2">
      <c r="F347" s="2"/>
    </row>
    <row r="348" spans="6:6" x14ac:dyDescent="0.2">
      <c r="F348" s="2"/>
    </row>
    <row r="349" spans="6:6" x14ac:dyDescent="0.2">
      <c r="F349" s="2"/>
    </row>
    <row r="350" spans="6:6" x14ac:dyDescent="0.2">
      <c r="F350" s="2"/>
    </row>
    <row r="351" spans="6:6" x14ac:dyDescent="0.2">
      <c r="F351" s="2"/>
    </row>
    <row r="352" spans="6:6" x14ac:dyDescent="0.2">
      <c r="F352" s="2"/>
    </row>
    <row r="353" spans="6:6" x14ac:dyDescent="0.2">
      <c r="F353" s="2"/>
    </row>
    <row r="354" spans="6:6" x14ac:dyDescent="0.2">
      <c r="F354" s="2"/>
    </row>
    <row r="355" spans="6:6" x14ac:dyDescent="0.2">
      <c r="F355" s="2"/>
    </row>
    <row r="356" spans="6:6" x14ac:dyDescent="0.2">
      <c r="F356" s="2"/>
    </row>
    <row r="357" spans="6:6" x14ac:dyDescent="0.2">
      <c r="F357" s="2"/>
    </row>
    <row r="358" spans="6:6" x14ac:dyDescent="0.2">
      <c r="F358" s="2"/>
    </row>
    <row r="359" spans="6:6" x14ac:dyDescent="0.2">
      <c r="F359" s="2"/>
    </row>
    <row r="360" spans="6:6" x14ac:dyDescent="0.2">
      <c r="F360" s="2"/>
    </row>
    <row r="361" spans="6:6" x14ac:dyDescent="0.2">
      <c r="F361" s="2"/>
    </row>
    <row r="362" spans="6:6" x14ac:dyDescent="0.2">
      <c r="F362" s="2"/>
    </row>
    <row r="363" spans="6:6" x14ac:dyDescent="0.2">
      <c r="F363" s="2"/>
    </row>
    <row r="364" spans="6:6" x14ac:dyDescent="0.2">
      <c r="F364" s="2"/>
    </row>
    <row r="365" spans="6:6" x14ac:dyDescent="0.2">
      <c r="F365" s="2"/>
    </row>
    <row r="366" spans="6:6" x14ac:dyDescent="0.2">
      <c r="F366" s="2"/>
    </row>
    <row r="367" spans="6:6" x14ac:dyDescent="0.2">
      <c r="F367" s="2"/>
    </row>
    <row r="368" spans="6:6" x14ac:dyDescent="0.2">
      <c r="F368" s="2"/>
    </row>
    <row r="369" spans="6:6" x14ac:dyDescent="0.2">
      <c r="F369" s="2"/>
    </row>
    <row r="370" spans="6:6" x14ac:dyDescent="0.2">
      <c r="F370" s="2"/>
    </row>
    <row r="371" spans="6:6" x14ac:dyDescent="0.2">
      <c r="F371" s="2"/>
    </row>
    <row r="372" spans="6:6" x14ac:dyDescent="0.2">
      <c r="F372" s="2"/>
    </row>
    <row r="373" spans="6:6" x14ac:dyDescent="0.2">
      <c r="F373" s="2"/>
    </row>
    <row r="374" spans="6:6" x14ac:dyDescent="0.2">
      <c r="F374" s="2"/>
    </row>
    <row r="375" spans="6:6" x14ac:dyDescent="0.2">
      <c r="F375" s="2"/>
    </row>
    <row r="376" spans="6:6" x14ac:dyDescent="0.2">
      <c r="F376" s="2"/>
    </row>
    <row r="377" spans="6:6" x14ac:dyDescent="0.2">
      <c r="F377" s="2"/>
    </row>
    <row r="378" spans="6:6" x14ac:dyDescent="0.2">
      <c r="F378" s="2"/>
    </row>
    <row r="379" spans="6:6" x14ac:dyDescent="0.2">
      <c r="F379" s="2"/>
    </row>
    <row r="380" spans="6:6" x14ac:dyDescent="0.2">
      <c r="F380" s="2"/>
    </row>
    <row r="381" spans="6:6" x14ac:dyDescent="0.2">
      <c r="F381" s="2"/>
    </row>
    <row r="382" spans="6:6" x14ac:dyDescent="0.2">
      <c r="F382" s="2"/>
    </row>
    <row r="383" spans="6:6" x14ac:dyDescent="0.2">
      <c r="F383" s="2"/>
    </row>
    <row r="384" spans="6:6" x14ac:dyDescent="0.2">
      <c r="F384" s="2"/>
    </row>
    <row r="385" spans="6:6" x14ac:dyDescent="0.2">
      <c r="F385" s="2"/>
    </row>
    <row r="386" spans="6:6" x14ac:dyDescent="0.2">
      <c r="F386" s="2"/>
    </row>
    <row r="387" spans="6:6" x14ac:dyDescent="0.2">
      <c r="F387" s="2"/>
    </row>
    <row r="388" spans="6:6" x14ac:dyDescent="0.2">
      <c r="F388" s="2"/>
    </row>
    <row r="389" spans="6:6" x14ac:dyDescent="0.2">
      <c r="F389" s="2"/>
    </row>
    <row r="390" spans="6:6" x14ac:dyDescent="0.2">
      <c r="F390" s="2"/>
    </row>
    <row r="391" spans="6:6" x14ac:dyDescent="0.2">
      <c r="F391" s="2"/>
    </row>
    <row r="392" spans="6:6" x14ac:dyDescent="0.2">
      <c r="F392" s="2"/>
    </row>
    <row r="393" spans="6:6" x14ac:dyDescent="0.2">
      <c r="F393" s="2"/>
    </row>
    <row r="394" spans="6:6" x14ac:dyDescent="0.2">
      <c r="F394" s="2"/>
    </row>
    <row r="395" spans="6:6" x14ac:dyDescent="0.2">
      <c r="F395" s="2"/>
    </row>
    <row r="396" spans="6:6" x14ac:dyDescent="0.2">
      <c r="F396" s="2"/>
    </row>
    <row r="397" spans="6:6" x14ac:dyDescent="0.2">
      <c r="F397" s="2"/>
    </row>
    <row r="398" spans="6:6" x14ac:dyDescent="0.2">
      <c r="F398" s="2"/>
    </row>
    <row r="399" spans="6:6" x14ac:dyDescent="0.2">
      <c r="F399" s="2"/>
    </row>
    <row r="400" spans="6:6" x14ac:dyDescent="0.2">
      <c r="F400" s="2"/>
    </row>
    <row r="401" spans="6:6" x14ac:dyDescent="0.2">
      <c r="F401" s="2"/>
    </row>
    <row r="402" spans="6:6" x14ac:dyDescent="0.2">
      <c r="F402" s="2"/>
    </row>
    <row r="403" spans="6:6" x14ac:dyDescent="0.2">
      <c r="F403" s="2"/>
    </row>
    <row r="404" spans="6:6" x14ac:dyDescent="0.2">
      <c r="F404" s="2"/>
    </row>
    <row r="405" spans="6:6" x14ac:dyDescent="0.2">
      <c r="F405" s="2"/>
    </row>
    <row r="406" spans="6:6" x14ac:dyDescent="0.2">
      <c r="F406" s="2"/>
    </row>
    <row r="407" spans="6:6" x14ac:dyDescent="0.2">
      <c r="F407" s="2"/>
    </row>
    <row r="408" spans="6:6" x14ac:dyDescent="0.2">
      <c r="F408" s="2"/>
    </row>
    <row r="409" spans="6:6" x14ac:dyDescent="0.2">
      <c r="F409" s="2"/>
    </row>
    <row r="410" spans="6:6" x14ac:dyDescent="0.2">
      <c r="F410" s="2"/>
    </row>
    <row r="411" spans="6:6" x14ac:dyDescent="0.2">
      <c r="F411" s="2"/>
    </row>
    <row r="412" spans="6:6" x14ac:dyDescent="0.2">
      <c r="F412" s="2"/>
    </row>
    <row r="413" spans="6:6" x14ac:dyDescent="0.2">
      <c r="F413" s="2"/>
    </row>
    <row r="414" spans="6:6" x14ac:dyDescent="0.2">
      <c r="F414" s="2"/>
    </row>
    <row r="415" spans="6:6" x14ac:dyDescent="0.2">
      <c r="F415" s="2"/>
    </row>
    <row r="416" spans="6:6" x14ac:dyDescent="0.2">
      <c r="F416" s="2"/>
    </row>
    <row r="417" spans="6:6" x14ac:dyDescent="0.2">
      <c r="F417" s="2"/>
    </row>
    <row r="418" spans="6:6" x14ac:dyDescent="0.2">
      <c r="F418" s="2"/>
    </row>
    <row r="419" spans="6:6" x14ac:dyDescent="0.2">
      <c r="F419" s="2"/>
    </row>
    <row r="420" spans="6:6" x14ac:dyDescent="0.2">
      <c r="F420" s="2"/>
    </row>
    <row r="421" spans="6:6" x14ac:dyDescent="0.2">
      <c r="F421" s="2"/>
    </row>
    <row r="422" spans="6:6" x14ac:dyDescent="0.2">
      <c r="F422" s="2"/>
    </row>
    <row r="423" spans="6:6" x14ac:dyDescent="0.2">
      <c r="F423" s="2"/>
    </row>
    <row r="424" spans="6:6" x14ac:dyDescent="0.2">
      <c r="F424" s="2"/>
    </row>
    <row r="425" spans="6:6" x14ac:dyDescent="0.2">
      <c r="F425" s="2"/>
    </row>
    <row r="426" spans="6:6" x14ac:dyDescent="0.2">
      <c r="F426" s="2"/>
    </row>
    <row r="427" spans="6:6" x14ac:dyDescent="0.2">
      <c r="F427" s="2"/>
    </row>
    <row r="428" spans="6:6" x14ac:dyDescent="0.2">
      <c r="F428" s="2"/>
    </row>
    <row r="429" spans="6:6" x14ac:dyDescent="0.2">
      <c r="F429" s="2"/>
    </row>
    <row r="430" spans="6:6" x14ac:dyDescent="0.2">
      <c r="F430" s="2"/>
    </row>
    <row r="431" spans="6:6" x14ac:dyDescent="0.2">
      <c r="F431" s="2"/>
    </row>
    <row r="432" spans="6:6" x14ac:dyDescent="0.2">
      <c r="F432" s="2"/>
    </row>
    <row r="433" spans="6:6" x14ac:dyDescent="0.2">
      <c r="F433" s="2"/>
    </row>
    <row r="434" spans="6:6" x14ac:dyDescent="0.2">
      <c r="F434" s="2"/>
    </row>
    <row r="435" spans="6:6" x14ac:dyDescent="0.2">
      <c r="F435" s="2"/>
    </row>
    <row r="436" spans="6:6" x14ac:dyDescent="0.2">
      <c r="F436" s="2"/>
    </row>
    <row r="437" spans="6:6" x14ac:dyDescent="0.2">
      <c r="F437" s="2"/>
    </row>
    <row r="438" spans="6:6" x14ac:dyDescent="0.2">
      <c r="F438" s="2"/>
    </row>
    <row r="439" spans="6:6" x14ac:dyDescent="0.2">
      <c r="F439" s="2"/>
    </row>
    <row r="440" spans="6:6" x14ac:dyDescent="0.2">
      <c r="F440" s="2"/>
    </row>
    <row r="441" spans="6:6" x14ac:dyDescent="0.2">
      <c r="F441" s="2"/>
    </row>
    <row r="442" spans="6:6" x14ac:dyDescent="0.2">
      <c r="F442" s="2"/>
    </row>
    <row r="443" spans="6:6" x14ac:dyDescent="0.2">
      <c r="F443" s="2"/>
    </row>
    <row r="444" spans="6:6" x14ac:dyDescent="0.2">
      <c r="F444" s="2"/>
    </row>
    <row r="445" spans="6:6" x14ac:dyDescent="0.2">
      <c r="F445" s="2"/>
    </row>
    <row r="446" spans="6:6" x14ac:dyDescent="0.2">
      <c r="F446" s="2"/>
    </row>
    <row r="447" spans="6:6" x14ac:dyDescent="0.2">
      <c r="F447" s="2"/>
    </row>
    <row r="448" spans="6:6" x14ac:dyDescent="0.2">
      <c r="F448" s="2"/>
    </row>
    <row r="449" spans="6:6" x14ac:dyDescent="0.2">
      <c r="F449" s="2"/>
    </row>
    <row r="450" spans="6:6" x14ac:dyDescent="0.2">
      <c r="F450" s="2"/>
    </row>
    <row r="451" spans="6:6" x14ac:dyDescent="0.2">
      <c r="F451" s="2"/>
    </row>
    <row r="452" spans="6:6" x14ac:dyDescent="0.2">
      <c r="F452" s="2"/>
    </row>
    <row r="453" spans="6:6" x14ac:dyDescent="0.2">
      <c r="F453" s="2"/>
    </row>
    <row r="454" spans="6:6" x14ac:dyDescent="0.2">
      <c r="F454" s="2"/>
    </row>
    <row r="455" spans="6:6" x14ac:dyDescent="0.2">
      <c r="F455" s="2"/>
    </row>
    <row r="456" spans="6:6" x14ac:dyDescent="0.2">
      <c r="F456" s="2"/>
    </row>
    <row r="457" spans="6:6" x14ac:dyDescent="0.2">
      <c r="F457" s="2"/>
    </row>
    <row r="458" spans="6:6" x14ac:dyDescent="0.2">
      <c r="F458" s="2"/>
    </row>
    <row r="459" spans="6:6" x14ac:dyDescent="0.2">
      <c r="F459" s="2"/>
    </row>
    <row r="460" spans="6:6" x14ac:dyDescent="0.2">
      <c r="F460" s="2"/>
    </row>
    <row r="461" spans="6:6" x14ac:dyDescent="0.2">
      <c r="F461" s="2"/>
    </row>
    <row r="462" spans="6:6" x14ac:dyDescent="0.2">
      <c r="F462" s="2"/>
    </row>
    <row r="463" spans="6:6" x14ac:dyDescent="0.2">
      <c r="F463" s="2"/>
    </row>
    <row r="464" spans="6:6" x14ac:dyDescent="0.2">
      <c r="F464" s="2"/>
    </row>
    <row r="465" spans="6:6" x14ac:dyDescent="0.2">
      <c r="F465" s="2"/>
    </row>
    <row r="466" spans="6:6" x14ac:dyDescent="0.2">
      <c r="F466" s="2"/>
    </row>
    <row r="467" spans="6:6" x14ac:dyDescent="0.2">
      <c r="F467" s="2"/>
    </row>
    <row r="468" spans="6:6" x14ac:dyDescent="0.2">
      <c r="F468" s="2"/>
    </row>
    <row r="469" spans="6:6" x14ac:dyDescent="0.2">
      <c r="F469" s="2"/>
    </row>
    <row r="470" spans="6:6" x14ac:dyDescent="0.2">
      <c r="F470" s="2"/>
    </row>
    <row r="471" spans="6:6" x14ac:dyDescent="0.2">
      <c r="F471" s="2"/>
    </row>
    <row r="472" spans="6:6" x14ac:dyDescent="0.2">
      <c r="F472" s="2"/>
    </row>
    <row r="473" spans="6:6" x14ac:dyDescent="0.2">
      <c r="F473" s="2"/>
    </row>
    <row r="474" spans="6:6" x14ac:dyDescent="0.2">
      <c r="F474" s="2"/>
    </row>
    <row r="475" spans="6:6" x14ac:dyDescent="0.2">
      <c r="F475" s="2"/>
    </row>
    <row r="476" spans="6:6" x14ac:dyDescent="0.2">
      <c r="F476" s="2"/>
    </row>
    <row r="477" spans="6:6" x14ac:dyDescent="0.2">
      <c r="F477" s="2"/>
    </row>
    <row r="478" spans="6:6" x14ac:dyDescent="0.2">
      <c r="F478" s="2"/>
    </row>
    <row r="479" spans="6:6" x14ac:dyDescent="0.2">
      <c r="F479" s="2"/>
    </row>
    <row r="480" spans="6:6" x14ac:dyDescent="0.2">
      <c r="F480" s="2"/>
    </row>
    <row r="481" spans="6:6" x14ac:dyDescent="0.2">
      <c r="F481" s="2"/>
    </row>
    <row r="482" spans="6:6" x14ac:dyDescent="0.2">
      <c r="F482" s="2"/>
    </row>
    <row r="483" spans="6:6" x14ac:dyDescent="0.2">
      <c r="F483" s="2"/>
    </row>
    <row r="484" spans="6:6" x14ac:dyDescent="0.2">
      <c r="F484" s="2"/>
    </row>
    <row r="485" spans="6:6" x14ac:dyDescent="0.2">
      <c r="F485" s="2"/>
    </row>
    <row r="486" spans="6:6" x14ac:dyDescent="0.2">
      <c r="F486" s="2"/>
    </row>
    <row r="487" spans="6:6" x14ac:dyDescent="0.2">
      <c r="F487" s="2"/>
    </row>
    <row r="488" spans="6:6" x14ac:dyDescent="0.2">
      <c r="F488" s="2"/>
    </row>
    <row r="489" spans="6:6" x14ac:dyDescent="0.2">
      <c r="F489" s="2"/>
    </row>
    <row r="490" spans="6:6" x14ac:dyDescent="0.2">
      <c r="F490" s="2"/>
    </row>
    <row r="491" spans="6:6" x14ac:dyDescent="0.2">
      <c r="F491" s="2"/>
    </row>
    <row r="492" spans="6:6" x14ac:dyDescent="0.2">
      <c r="F492" s="2"/>
    </row>
    <row r="493" spans="6:6" x14ac:dyDescent="0.2">
      <c r="F493" s="2"/>
    </row>
    <row r="494" spans="6:6" x14ac:dyDescent="0.2">
      <c r="F494" s="2"/>
    </row>
    <row r="495" spans="6:6" x14ac:dyDescent="0.2">
      <c r="F495" s="2"/>
    </row>
    <row r="496" spans="6:6" x14ac:dyDescent="0.2">
      <c r="F496" s="2"/>
    </row>
    <row r="497" spans="6:6" x14ac:dyDescent="0.2">
      <c r="F497" s="2"/>
    </row>
    <row r="498" spans="6:6" x14ac:dyDescent="0.2">
      <c r="F498" s="2"/>
    </row>
    <row r="499" spans="6:6" x14ac:dyDescent="0.2">
      <c r="F499" s="2"/>
    </row>
    <row r="500" spans="6:6" x14ac:dyDescent="0.2">
      <c r="F500" s="2"/>
    </row>
    <row r="501" spans="6:6" x14ac:dyDescent="0.2">
      <c r="F501" s="2"/>
    </row>
    <row r="502" spans="6:6" x14ac:dyDescent="0.2">
      <c r="F502" s="2"/>
    </row>
    <row r="503" spans="6:6" x14ac:dyDescent="0.2">
      <c r="F503" s="2"/>
    </row>
    <row r="504" spans="6:6" x14ac:dyDescent="0.2">
      <c r="F504" s="2"/>
    </row>
    <row r="505" spans="6:6" x14ac:dyDescent="0.2">
      <c r="F505" s="2"/>
    </row>
    <row r="506" spans="6:6" x14ac:dyDescent="0.2">
      <c r="F506" s="2"/>
    </row>
    <row r="507" spans="6:6" x14ac:dyDescent="0.2">
      <c r="F507" s="2"/>
    </row>
    <row r="508" spans="6:6" x14ac:dyDescent="0.2">
      <c r="F508" s="2"/>
    </row>
    <row r="509" spans="6:6" x14ac:dyDescent="0.2">
      <c r="F509" s="2"/>
    </row>
    <row r="510" spans="6:6" x14ac:dyDescent="0.2">
      <c r="F510" s="2"/>
    </row>
    <row r="511" spans="6:6" x14ac:dyDescent="0.2">
      <c r="F511" s="2"/>
    </row>
    <row r="512" spans="6:6" x14ac:dyDescent="0.2">
      <c r="F512" s="2"/>
    </row>
    <row r="513" spans="6:6" x14ac:dyDescent="0.2">
      <c r="F513" s="2"/>
    </row>
    <row r="514" spans="6:6" x14ac:dyDescent="0.2">
      <c r="F514" s="2"/>
    </row>
    <row r="515" spans="6:6" x14ac:dyDescent="0.2">
      <c r="F515" s="2"/>
    </row>
    <row r="516" spans="6:6" x14ac:dyDescent="0.2">
      <c r="F516" s="2"/>
    </row>
    <row r="517" spans="6:6" x14ac:dyDescent="0.2">
      <c r="F517" s="2"/>
    </row>
    <row r="518" spans="6:6" x14ac:dyDescent="0.2">
      <c r="F518" s="2"/>
    </row>
    <row r="519" spans="6:6" x14ac:dyDescent="0.2">
      <c r="F519" s="2"/>
    </row>
    <row r="520" spans="6:6" x14ac:dyDescent="0.2">
      <c r="F520" s="2"/>
    </row>
    <row r="521" spans="6:6" x14ac:dyDescent="0.2">
      <c r="F521" s="2"/>
    </row>
    <row r="522" spans="6:6" x14ac:dyDescent="0.2">
      <c r="F522" s="2"/>
    </row>
    <row r="523" spans="6:6" x14ac:dyDescent="0.2">
      <c r="F523" s="2"/>
    </row>
    <row r="524" spans="6:6" x14ac:dyDescent="0.2">
      <c r="F524" s="2"/>
    </row>
    <row r="525" spans="6:6" x14ac:dyDescent="0.2">
      <c r="F525" s="2"/>
    </row>
    <row r="526" spans="6:6" x14ac:dyDescent="0.2">
      <c r="F526" s="2"/>
    </row>
    <row r="527" spans="6:6" x14ac:dyDescent="0.2">
      <c r="F527" s="2"/>
    </row>
    <row r="528" spans="6:6" x14ac:dyDescent="0.2">
      <c r="F528" s="2"/>
    </row>
    <row r="529" spans="6:6" x14ac:dyDescent="0.2">
      <c r="F529" s="2"/>
    </row>
    <row r="530" spans="6:6" x14ac:dyDescent="0.2">
      <c r="F530" s="2"/>
    </row>
    <row r="531" spans="6:6" x14ac:dyDescent="0.2">
      <c r="F531" s="2"/>
    </row>
    <row r="532" spans="6:6" x14ac:dyDescent="0.2">
      <c r="F532" s="2"/>
    </row>
    <row r="533" spans="6:6" x14ac:dyDescent="0.2">
      <c r="F533" s="2"/>
    </row>
    <row r="534" spans="6:6" x14ac:dyDescent="0.2">
      <c r="F534" s="2"/>
    </row>
    <row r="535" spans="6:6" x14ac:dyDescent="0.2">
      <c r="F535" s="2"/>
    </row>
    <row r="536" spans="6:6" x14ac:dyDescent="0.2">
      <c r="F536" s="2"/>
    </row>
    <row r="537" spans="6:6" x14ac:dyDescent="0.2">
      <c r="F537" s="2"/>
    </row>
    <row r="538" spans="6:6" x14ac:dyDescent="0.2">
      <c r="F538" s="2"/>
    </row>
    <row r="539" spans="6:6" x14ac:dyDescent="0.2">
      <c r="F539" s="2"/>
    </row>
    <row r="540" spans="6:6" x14ac:dyDescent="0.2">
      <c r="F540" s="2"/>
    </row>
    <row r="541" spans="6:6" x14ac:dyDescent="0.2">
      <c r="F541" s="2"/>
    </row>
    <row r="542" spans="6:6" x14ac:dyDescent="0.2">
      <c r="F542" s="2"/>
    </row>
    <row r="543" spans="6:6" x14ac:dyDescent="0.2">
      <c r="F543" s="2"/>
    </row>
    <row r="544" spans="6:6" x14ac:dyDescent="0.2">
      <c r="F544" s="2"/>
    </row>
    <row r="545" spans="6:6" x14ac:dyDescent="0.2">
      <c r="F545" s="2"/>
    </row>
    <row r="546" spans="6:6" x14ac:dyDescent="0.2">
      <c r="F546" s="2"/>
    </row>
    <row r="547" spans="6:6" x14ac:dyDescent="0.2">
      <c r="F547" s="2"/>
    </row>
    <row r="548" spans="6:6" x14ac:dyDescent="0.2">
      <c r="F548" s="2"/>
    </row>
    <row r="549" spans="6:6" x14ac:dyDescent="0.2">
      <c r="F549" s="2"/>
    </row>
    <row r="550" spans="6:6" x14ac:dyDescent="0.2">
      <c r="F550" s="2"/>
    </row>
    <row r="551" spans="6:6" x14ac:dyDescent="0.2">
      <c r="F551" s="2"/>
    </row>
    <row r="552" spans="6:6" x14ac:dyDescent="0.2">
      <c r="F552" s="2"/>
    </row>
    <row r="553" spans="6:6" x14ac:dyDescent="0.2">
      <c r="F553" s="2"/>
    </row>
    <row r="554" spans="6:6" x14ac:dyDescent="0.2">
      <c r="F554" s="2"/>
    </row>
    <row r="555" spans="6:6" x14ac:dyDescent="0.2">
      <c r="F555" s="2"/>
    </row>
    <row r="556" spans="6:6" x14ac:dyDescent="0.2">
      <c r="F556" s="2"/>
    </row>
    <row r="557" spans="6:6" x14ac:dyDescent="0.2">
      <c r="F557" s="2"/>
    </row>
    <row r="558" spans="6:6" x14ac:dyDescent="0.2">
      <c r="F558" s="2"/>
    </row>
    <row r="559" spans="6:6" x14ac:dyDescent="0.2">
      <c r="F559" s="2"/>
    </row>
    <row r="560" spans="6:6" x14ac:dyDescent="0.2">
      <c r="F560" s="2"/>
    </row>
    <row r="561" spans="6:6" x14ac:dyDescent="0.2">
      <c r="F561" s="2"/>
    </row>
    <row r="562" spans="6:6" x14ac:dyDescent="0.2">
      <c r="F562" s="2"/>
    </row>
    <row r="563" spans="6:6" x14ac:dyDescent="0.2">
      <c r="F563" s="2"/>
    </row>
    <row r="564" spans="6:6" x14ac:dyDescent="0.2">
      <c r="F564" s="2"/>
    </row>
    <row r="565" spans="6:6" x14ac:dyDescent="0.2">
      <c r="F565" s="2"/>
    </row>
    <row r="566" spans="6:6" x14ac:dyDescent="0.2">
      <c r="F566" s="2"/>
    </row>
    <row r="567" spans="6:6" x14ac:dyDescent="0.2">
      <c r="F567" s="2"/>
    </row>
    <row r="568" spans="6:6" x14ac:dyDescent="0.2">
      <c r="F568" s="2"/>
    </row>
    <row r="569" spans="6:6" x14ac:dyDescent="0.2">
      <c r="F569" s="2"/>
    </row>
    <row r="570" spans="6:6" x14ac:dyDescent="0.2">
      <c r="F570" s="2"/>
    </row>
    <row r="571" spans="6:6" x14ac:dyDescent="0.2">
      <c r="F571" s="2"/>
    </row>
    <row r="572" spans="6:6" x14ac:dyDescent="0.2">
      <c r="F572" s="2"/>
    </row>
    <row r="573" spans="6:6" x14ac:dyDescent="0.2">
      <c r="F573" s="2"/>
    </row>
    <row r="574" spans="6:6" x14ac:dyDescent="0.2">
      <c r="F574" s="2"/>
    </row>
    <row r="575" spans="6:6" x14ac:dyDescent="0.2">
      <c r="F575" s="2"/>
    </row>
    <row r="576" spans="6:6" x14ac:dyDescent="0.2">
      <c r="F576" s="2"/>
    </row>
    <row r="577" spans="6:6" x14ac:dyDescent="0.2">
      <c r="F577" s="2"/>
    </row>
    <row r="578" spans="6:6" x14ac:dyDescent="0.2">
      <c r="F578" s="2"/>
    </row>
    <row r="579" spans="6:6" x14ac:dyDescent="0.2">
      <c r="F579" s="2"/>
    </row>
    <row r="580" spans="6:6" x14ac:dyDescent="0.2">
      <c r="F580" s="2"/>
    </row>
    <row r="581" spans="6:6" x14ac:dyDescent="0.2">
      <c r="F581" s="2"/>
    </row>
    <row r="582" spans="6:6" x14ac:dyDescent="0.2">
      <c r="F582" s="2"/>
    </row>
    <row r="583" spans="6:6" x14ac:dyDescent="0.2">
      <c r="F583" s="2"/>
    </row>
    <row r="584" spans="6:6" x14ac:dyDescent="0.2">
      <c r="F584" s="2"/>
    </row>
    <row r="585" spans="6:6" x14ac:dyDescent="0.2">
      <c r="F585" s="2"/>
    </row>
    <row r="586" spans="6:6" x14ac:dyDescent="0.2">
      <c r="F586" s="2"/>
    </row>
    <row r="587" spans="6:6" x14ac:dyDescent="0.2">
      <c r="F587" s="2"/>
    </row>
    <row r="588" spans="6:6" x14ac:dyDescent="0.2">
      <c r="F588" s="2"/>
    </row>
    <row r="589" spans="6:6" x14ac:dyDescent="0.2">
      <c r="F589" s="2"/>
    </row>
    <row r="590" spans="6:6" x14ac:dyDescent="0.2">
      <c r="F590" s="2"/>
    </row>
    <row r="591" spans="6:6" x14ac:dyDescent="0.2">
      <c r="F591" s="2"/>
    </row>
    <row r="592" spans="6:6" x14ac:dyDescent="0.2">
      <c r="F592" s="2"/>
    </row>
    <row r="593" spans="6:6" x14ac:dyDescent="0.2">
      <c r="F593" s="2"/>
    </row>
    <row r="594" spans="6:6" x14ac:dyDescent="0.2">
      <c r="F594" s="2"/>
    </row>
    <row r="595" spans="6:6" x14ac:dyDescent="0.2">
      <c r="F595" s="2"/>
    </row>
    <row r="596" spans="6:6" x14ac:dyDescent="0.2">
      <c r="F596" s="2"/>
    </row>
    <row r="597" spans="6:6" x14ac:dyDescent="0.2">
      <c r="F597" s="2"/>
    </row>
    <row r="598" spans="6:6" x14ac:dyDescent="0.2">
      <c r="F598" s="2"/>
    </row>
    <row r="599" spans="6:6" x14ac:dyDescent="0.2">
      <c r="F599" s="2"/>
    </row>
    <row r="600" spans="6:6" x14ac:dyDescent="0.2">
      <c r="F600" s="2"/>
    </row>
    <row r="601" spans="6:6" x14ac:dyDescent="0.2">
      <c r="F601" s="2"/>
    </row>
    <row r="602" spans="6:6" x14ac:dyDescent="0.2">
      <c r="F602" s="2"/>
    </row>
    <row r="603" spans="6:6" x14ac:dyDescent="0.2">
      <c r="F603" s="2"/>
    </row>
    <row r="604" spans="6:6" x14ac:dyDescent="0.2">
      <c r="F604" s="2"/>
    </row>
    <row r="605" spans="6:6" x14ac:dyDescent="0.2">
      <c r="F605" s="2"/>
    </row>
    <row r="606" spans="6:6" x14ac:dyDescent="0.2">
      <c r="F606" s="2"/>
    </row>
    <row r="607" spans="6:6" x14ac:dyDescent="0.2">
      <c r="F607" s="2"/>
    </row>
    <row r="608" spans="6:6" x14ac:dyDescent="0.2">
      <c r="F608" s="2"/>
    </row>
    <row r="609" spans="6:6" x14ac:dyDescent="0.2">
      <c r="F609" s="2"/>
    </row>
    <row r="610" spans="6:6" x14ac:dyDescent="0.2">
      <c r="F610" s="2"/>
    </row>
    <row r="611" spans="6:6" x14ac:dyDescent="0.2">
      <c r="F611" s="2"/>
    </row>
    <row r="612" spans="6:6" x14ac:dyDescent="0.2">
      <c r="F612" s="2"/>
    </row>
    <row r="613" spans="6:6" x14ac:dyDescent="0.2">
      <c r="F613" s="2"/>
    </row>
    <row r="614" spans="6:6" x14ac:dyDescent="0.2">
      <c r="F614" s="2"/>
    </row>
    <row r="615" spans="6:6" x14ac:dyDescent="0.2">
      <c r="F615" s="2"/>
    </row>
    <row r="616" spans="6:6" x14ac:dyDescent="0.2">
      <c r="F616" s="2"/>
    </row>
    <row r="617" spans="6:6" x14ac:dyDescent="0.2">
      <c r="F617" s="2"/>
    </row>
    <row r="618" spans="6:6" x14ac:dyDescent="0.2">
      <c r="F618" s="2"/>
    </row>
    <row r="619" spans="6:6" x14ac:dyDescent="0.2">
      <c r="F619" s="2"/>
    </row>
    <row r="620" spans="6:6" x14ac:dyDescent="0.2">
      <c r="F620" s="2"/>
    </row>
    <row r="621" spans="6:6" x14ac:dyDescent="0.2">
      <c r="F621" s="2"/>
    </row>
    <row r="622" spans="6:6" x14ac:dyDescent="0.2">
      <c r="F622" s="2"/>
    </row>
    <row r="623" spans="6:6" x14ac:dyDescent="0.2">
      <c r="F623" s="2"/>
    </row>
    <row r="624" spans="6:6" x14ac:dyDescent="0.2">
      <c r="F624" s="2"/>
    </row>
    <row r="625" spans="6:6" x14ac:dyDescent="0.2">
      <c r="F625" s="2"/>
    </row>
    <row r="626" spans="6:6" x14ac:dyDescent="0.2">
      <c r="F626" s="2"/>
    </row>
    <row r="627" spans="6:6" x14ac:dyDescent="0.2">
      <c r="F627" s="2"/>
    </row>
    <row r="628" spans="6:6" x14ac:dyDescent="0.2">
      <c r="F628" s="2"/>
    </row>
    <row r="629" spans="6:6" x14ac:dyDescent="0.2">
      <c r="F629" s="2"/>
    </row>
    <row r="630" spans="6:6" x14ac:dyDescent="0.2">
      <c r="F630" s="2"/>
    </row>
    <row r="631" spans="6:6" x14ac:dyDescent="0.2">
      <c r="F631" s="2"/>
    </row>
    <row r="632" spans="6:6" x14ac:dyDescent="0.2">
      <c r="F632" s="2"/>
    </row>
    <row r="633" spans="6:6" x14ac:dyDescent="0.2">
      <c r="F633" s="2"/>
    </row>
    <row r="634" spans="6:6" x14ac:dyDescent="0.2">
      <c r="F634" s="2"/>
    </row>
    <row r="635" spans="6:6" x14ac:dyDescent="0.2">
      <c r="F635" s="2"/>
    </row>
    <row r="636" spans="6:6" x14ac:dyDescent="0.2">
      <c r="F636" s="2"/>
    </row>
    <row r="637" spans="6:6" x14ac:dyDescent="0.2">
      <c r="F637" s="2"/>
    </row>
    <row r="638" spans="6:6" x14ac:dyDescent="0.2">
      <c r="F638" s="2"/>
    </row>
    <row r="639" spans="6:6" x14ac:dyDescent="0.2">
      <c r="F639" s="2"/>
    </row>
    <row r="640" spans="6:6" x14ac:dyDescent="0.2">
      <c r="F640" s="2"/>
    </row>
    <row r="641" spans="6:6" x14ac:dyDescent="0.2">
      <c r="F641" s="2"/>
    </row>
    <row r="642" spans="6:6" x14ac:dyDescent="0.2">
      <c r="F642" s="2"/>
    </row>
    <row r="643" spans="6:6" x14ac:dyDescent="0.2">
      <c r="F643" s="2"/>
    </row>
    <row r="644" spans="6:6" x14ac:dyDescent="0.2">
      <c r="F644" s="2"/>
    </row>
    <row r="645" spans="6:6" x14ac:dyDescent="0.2">
      <c r="F645" s="2"/>
    </row>
    <row r="646" spans="6:6" x14ac:dyDescent="0.2">
      <c r="F646" s="2"/>
    </row>
    <row r="647" spans="6:6" x14ac:dyDescent="0.2">
      <c r="F647" s="2"/>
    </row>
    <row r="648" spans="6:6" x14ac:dyDescent="0.2">
      <c r="F648" s="2"/>
    </row>
    <row r="649" spans="6:6" x14ac:dyDescent="0.2">
      <c r="F649" s="2"/>
    </row>
    <row r="650" spans="6:6" x14ac:dyDescent="0.2">
      <c r="F650" s="2"/>
    </row>
    <row r="651" spans="6:6" x14ac:dyDescent="0.2">
      <c r="F651" s="2"/>
    </row>
    <row r="652" spans="6:6" x14ac:dyDescent="0.2">
      <c r="F652" s="2"/>
    </row>
    <row r="653" spans="6:6" x14ac:dyDescent="0.2">
      <c r="F653" s="2"/>
    </row>
    <row r="654" spans="6:6" x14ac:dyDescent="0.2">
      <c r="F654" s="2"/>
    </row>
    <row r="655" spans="6:6" x14ac:dyDescent="0.2">
      <c r="F655" s="2"/>
    </row>
    <row r="656" spans="6:6" x14ac:dyDescent="0.2">
      <c r="F656" s="2"/>
    </row>
    <row r="657" spans="6:6" x14ac:dyDescent="0.2">
      <c r="F657" s="2"/>
    </row>
    <row r="658" spans="6:6" x14ac:dyDescent="0.2">
      <c r="F658" s="2"/>
    </row>
    <row r="659" spans="6:6" x14ac:dyDescent="0.2">
      <c r="F659" s="2"/>
    </row>
    <row r="660" spans="6:6" x14ac:dyDescent="0.2">
      <c r="F660" s="2"/>
    </row>
    <row r="661" spans="6:6" x14ac:dyDescent="0.2">
      <c r="F661" s="2"/>
    </row>
    <row r="662" spans="6:6" x14ac:dyDescent="0.2">
      <c r="F662" s="2"/>
    </row>
    <row r="663" spans="6:6" x14ac:dyDescent="0.2">
      <c r="F663" s="2"/>
    </row>
    <row r="664" spans="6:6" x14ac:dyDescent="0.2">
      <c r="F664" s="2"/>
    </row>
    <row r="665" spans="6:6" x14ac:dyDescent="0.2">
      <c r="F665" s="2"/>
    </row>
    <row r="666" spans="6:6" x14ac:dyDescent="0.2">
      <c r="F666" s="2"/>
    </row>
    <row r="667" spans="6:6" x14ac:dyDescent="0.2">
      <c r="F667" s="2"/>
    </row>
    <row r="668" spans="6:6" x14ac:dyDescent="0.2">
      <c r="F668" s="2"/>
    </row>
    <row r="669" spans="6:6" x14ac:dyDescent="0.2">
      <c r="F669" s="2"/>
    </row>
    <row r="670" spans="6:6" x14ac:dyDescent="0.2">
      <c r="F670" s="2"/>
    </row>
    <row r="671" spans="6:6" x14ac:dyDescent="0.2">
      <c r="F671" s="2"/>
    </row>
    <row r="672" spans="6:6" x14ac:dyDescent="0.2">
      <c r="F672" s="2"/>
    </row>
    <row r="673" spans="6:6" x14ac:dyDescent="0.2">
      <c r="F673" s="2"/>
    </row>
    <row r="674" spans="6:6" x14ac:dyDescent="0.2">
      <c r="F674" s="2"/>
    </row>
    <row r="675" spans="6:6" x14ac:dyDescent="0.2">
      <c r="F675" s="2"/>
    </row>
    <row r="676" spans="6:6" x14ac:dyDescent="0.2">
      <c r="F676" s="2"/>
    </row>
    <row r="677" spans="6:6" x14ac:dyDescent="0.2">
      <c r="F677" s="2"/>
    </row>
    <row r="678" spans="6:6" x14ac:dyDescent="0.2">
      <c r="F678" s="2"/>
    </row>
    <row r="679" spans="6:6" x14ac:dyDescent="0.2">
      <c r="F679" s="2"/>
    </row>
    <row r="680" spans="6:6" x14ac:dyDescent="0.2">
      <c r="F680" s="2"/>
    </row>
    <row r="681" spans="6:6" x14ac:dyDescent="0.2">
      <c r="F681" s="2"/>
    </row>
    <row r="682" spans="6:6" x14ac:dyDescent="0.2">
      <c r="F682" s="2"/>
    </row>
    <row r="683" spans="6:6" x14ac:dyDescent="0.2">
      <c r="F683" s="2"/>
    </row>
    <row r="684" spans="6:6" x14ac:dyDescent="0.2">
      <c r="F684" s="2"/>
    </row>
    <row r="685" spans="6:6" x14ac:dyDescent="0.2">
      <c r="F685" s="2"/>
    </row>
    <row r="686" spans="6:6" x14ac:dyDescent="0.2">
      <c r="F686" s="2"/>
    </row>
    <row r="687" spans="6:6" x14ac:dyDescent="0.2">
      <c r="F687" s="2"/>
    </row>
    <row r="688" spans="6:6" x14ac:dyDescent="0.2">
      <c r="F688" s="2"/>
    </row>
    <row r="689" spans="6:6" x14ac:dyDescent="0.2">
      <c r="F689" s="2"/>
    </row>
    <row r="690" spans="6:6" x14ac:dyDescent="0.2">
      <c r="F690" s="2"/>
    </row>
    <row r="691" spans="6:6" x14ac:dyDescent="0.2">
      <c r="F691" s="2"/>
    </row>
    <row r="692" spans="6:6" x14ac:dyDescent="0.2">
      <c r="F692" s="2"/>
    </row>
    <row r="693" spans="6:6" x14ac:dyDescent="0.2">
      <c r="F693" s="2"/>
    </row>
    <row r="694" spans="6:6" x14ac:dyDescent="0.2">
      <c r="F694" s="2"/>
    </row>
    <row r="695" spans="6:6" x14ac:dyDescent="0.2">
      <c r="F695" s="2"/>
    </row>
    <row r="696" spans="6:6" x14ac:dyDescent="0.2">
      <c r="F696" s="2"/>
    </row>
    <row r="697" spans="6:6" x14ac:dyDescent="0.2">
      <c r="F697" s="2"/>
    </row>
    <row r="698" spans="6:6" x14ac:dyDescent="0.2">
      <c r="F698" s="2"/>
    </row>
    <row r="699" spans="6:6" x14ac:dyDescent="0.2">
      <c r="F699" s="2"/>
    </row>
    <row r="700" spans="6:6" x14ac:dyDescent="0.2">
      <c r="F700" s="2"/>
    </row>
    <row r="701" spans="6:6" x14ac:dyDescent="0.2">
      <c r="F701" s="2"/>
    </row>
  </sheetData>
  <mergeCells count="2">
    <mergeCell ref="A10:D10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5397-22EA-C947-80E5-7411B8DE66C1}">
  <dimension ref="A1:K53"/>
  <sheetViews>
    <sheetView tabSelected="1" workbookViewId="0">
      <selection activeCell="F6" sqref="F4:F6"/>
    </sheetView>
  </sheetViews>
  <sheetFormatPr baseColWidth="10" defaultRowHeight="16" x14ac:dyDescent="0.2"/>
  <sheetData>
    <row r="1" spans="1:11" x14ac:dyDescent="0.2">
      <c r="B1">
        <v>0</v>
      </c>
    </row>
    <row r="2" spans="1:11" x14ac:dyDescent="0.2">
      <c r="A2" t="s">
        <v>17</v>
      </c>
    </row>
    <row r="3" spans="1:11" x14ac:dyDescent="0.2">
      <c r="E3" s="6"/>
      <c r="F3" s="6" t="s">
        <v>1</v>
      </c>
      <c r="G3" s="6" t="s">
        <v>19</v>
      </c>
      <c r="H3" s="6"/>
      <c r="I3" s="6"/>
      <c r="J3" s="6" t="s">
        <v>0</v>
      </c>
      <c r="K3" s="6" t="s">
        <v>11</v>
      </c>
    </row>
    <row r="4" spans="1:11" x14ac:dyDescent="0.2">
      <c r="E4" s="6" t="s">
        <v>13</v>
      </c>
      <c r="F4">
        <v>0</v>
      </c>
      <c r="G4" s="11">
        <v>1</v>
      </c>
      <c r="H4" s="6"/>
      <c r="I4" s="6"/>
      <c r="J4" s="8">
        <v>1E-3</v>
      </c>
      <c r="K4" s="9">
        <v>1000000</v>
      </c>
    </row>
    <row r="5" spans="1:11" x14ac:dyDescent="0.2">
      <c r="E5" s="6" t="s">
        <v>14</v>
      </c>
      <c r="F5" s="7">
        <v>10400000</v>
      </c>
      <c r="G5" s="8">
        <f>AVERAGE(E14:H14)</f>
        <v>6.4399999999999999E-2</v>
      </c>
      <c r="H5" s="6"/>
      <c r="I5" s="6"/>
      <c r="J5" s="8">
        <v>2E-3</v>
      </c>
      <c r="K5" s="9">
        <v>250000</v>
      </c>
    </row>
    <row r="6" spans="1:11" x14ac:dyDescent="0.2">
      <c r="E6" s="6" t="s">
        <v>18</v>
      </c>
      <c r="F6" s="7">
        <v>13200000</v>
      </c>
      <c r="G6" s="8">
        <f>AVERAGE(E15:H15)</f>
        <v>5.4799999999999995E-2</v>
      </c>
      <c r="H6" s="8"/>
      <c r="I6" s="8"/>
      <c r="J6" s="8">
        <v>3.0000000000000001E-3</v>
      </c>
      <c r="K6" s="9">
        <v>111111</v>
      </c>
    </row>
    <row r="7" spans="1:11" x14ac:dyDescent="0.2">
      <c r="J7" s="8">
        <v>4.0000000000000001E-3</v>
      </c>
      <c r="K7" s="9">
        <v>62500</v>
      </c>
    </row>
    <row r="8" spans="1:11" x14ac:dyDescent="0.2">
      <c r="J8" s="8">
        <v>5.0000000000000001E-3</v>
      </c>
      <c r="K8" s="9">
        <v>40000</v>
      </c>
    </row>
    <row r="9" spans="1:11" x14ac:dyDescent="0.2">
      <c r="J9" s="8">
        <v>6.0000000000000001E-3</v>
      </c>
      <c r="K9" s="9">
        <v>27778</v>
      </c>
    </row>
    <row r="10" spans="1:11" x14ac:dyDescent="0.2">
      <c r="J10" s="8">
        <v>7.0000000000000001E-3</v>
      </c>
      <c r="K10" s="9">
        <v>20408</v>
      </c>
    </row>
    <row r="11" spans="1:11" x14ac:dyDescent="0.2">
      <c r="J11" s="8">
        <v>8.0000000000000002E-3</v>
      </c>
      <c r="K11" s="9">
        <v>15625</v>
      </c>
    </row>
    <row r="12" spans="1:11" x14ac:dyDescent="0.2">
      <c r="E12" s="10" t="s">
        <v>16</v>
      </c>
      <c r="F12" s="10"/>
      <c r="G12" s="10"/>
      <c r="H12" s="10"/>
      <c r="I12" s="6"/>
      <c r="J12" s="8">
        <v>8.9999999999999993E-3</v>
      </c>
      <c r="K12" s="9">
        <v>12346</v>
      </c>
    </row>
    <row r="13" spans="1:11" x14ac:dyDescent="0.2">
      <c r="E13" s="6" t="s">
        <v>7</v>
      </c>
      <c r="F13" s="6" t="s">
        <v>8</v>
      </c>
      <c r="G13" s="6" t="s">
        <v>9</v>
      </c>
      <c r="H13" s="6" t="s">
        <v>10</v>
      </c>
      <c r="I13" s="6"/>
      <c r="J13" s="8">
        <v>0.01</v>
      </c>
      <c r="K13" s="9">
        <v>10000</v>
      </c>
    </row>
    <row r="14" spans="1:11" x14ac:dyDescent="0.2">
      <c r="E14" s="8">
        <v>6.59E-2</v>
      </c>
      <c r="F14" s="8">
        <v>6.4799999999999996E-2</v>
      </c>
      <c r="G14" s="8">
        <v>6.25E-2</v>
      </c>
      <c r="H14" s="8">
        <v>6.4399999999999999E-2</v>
      </c>
      <c r="I14" s="6"/>
      <c r="J14" s="8">
        <v>1.0999999999999999E-2</v>
      </c>
      <c r="K14" s="9">
        <v>8264</v>
      </c>
    </row>
    <row r="15" spans="1:11" x14ac:dyDescent="0.2">
      <c r="E15" s="8">
        <v>5.6800000000000003E-2</v>
      </c>
      <c r="F15" s="8">
        <v>5.5399999999999998E-2</v>
      </c>
      <c r="G15" s="8">
        <v>5.28E-2</v>
      </c>
      <c r="H15" s="8">
        <v>5.4199999999999998E-2</v>
      </c>
      <c r="I15" s="6"/>
      <c r="J15" s="8">
        <v>1.2E-2</v>
      </c>
      <c r="K15" s="9">
        <v>6944</v>
      </c>
    </row>
    <row r="16" spans="1:11" x14ac:dyDescent="0.2">
      <c r="E16" s="6"/>
      <c r="F16" s="6"/>
      <c r="G16" s="6"/>
      <c r="H16" s="6"/>
      <c r="I16" s="6"/>
      <c r="J16" s="8">
        <v>1.2999999999999999E-2</v>
      </c>
      <c r="K16" s="9">
        <v>5917</v>
      </c>
    </row>
    <row r="17" spans="5:11" x14ac:dyDescent="0.2">
      <c r="E17" s="10" t="s">
        <v>15</v>
      </c>
      <c r="F17" s="10"/>
      <c r="G17" s="10"/>
      <c r="H17" s="10"/>
      <c r="I17" s="6"/>
      <c r="J17" s="8">
        <v>1.4E-2</v>
      </c>
      <c r="K17" s="9">
        <v>5102</v>
      </c>
    </row>
    <row r="18" spans="5:11" x14ac:dyDescent="0.2">
      <c r="E18" s="6" t="s">
        <v>7</v>
      </c>
      <c r="F18" s="6" t="s">
        <v>8</v>
      </c>
      <c r="G18" s="6" t="s">
        <v>9</v>
      </c>
      <c r="H18" s="6" t="s">
        <v>10</v>
      </c>
      <c r="I18" s="6"/>
      <c r="J18" s="8">
        <v>1.4999999999999999E-2</v>
      </c>
      <c r="K18" s="9">
        <v>4444</v>
      </c>
    </row>
    <row r="19" spans="5:11" x14ac:dyDescent="0.2">
      <c r="E19" s="7">
        <v>213</v>
      </c>
      <c r="F19" s="7">
        <v>209</v>
      </c>
      <c r="G19" s="7">
        <v>202</v>
      </c>
      <c r="H19" s="7">
        <v>208</v>
      </c>
      <c r="I19" s="6"/>
      <c r="J19" s="8">
        <v>1.6E-2</v>
      </c>
      <c r="K19" s="9">
        <v>3906</v>
      </c>
    </row>
    <row r="20" spans="5:11" x14ac:dyDescent="0.2">
      <c r="E20" s="7">
        <v>206</v>
      </c>
      <c r="F20" s="7">
        <v>201</v>
      </c>
      <c r="G20" s="7">
        <v>192</v>
      </c>
      <c r="H20" s="7">
        <v>197</v>
      </c>
      <c r="I20" s="6"/>
      <c r="J20" s="8">
        <v>1.7000000000000001E-2</v>
      </c>
      <c r="K20" s="9">
        <v>3460</v>
      </c>
    </row>
    <row r="21" spans="5:11" x14ac:dyDescent="0.2">
      <c r="E21" s="6"/>
      <c r="F21" s="6"/>
      <c r="G21" s="6"/>
      <c r="H21" s="6"/>
      <c r="I21" s="6"/>
      <c r="J21" s="8">
        <v>1.7999999999999999E-2</v>
      </c>
      <c r="K21" s="9">
        <v>3086</v>
      </c>
    </row>
    <row r="22" spans="5:11" x14ac:dyDescent="0.2">
      <c r="E22" s="6"/>
      <c r="F22" s="6"/>
      <c r="G22" s="6"/>
      <c r="H22" s="6"/>
      <c r="I22" s="6"/>
      <c r="J22" s="8">
        <v>1.9E-2</v>
      </c>
      <c r="K22" s="9">
        <v>2770</v>
      </c>
    </row>
    <row r="23" spans="5:11" x14ac:dyDescent="0.2">
      <c r="E23" s="6"/>
      <c r="F23" s="6"/>
      <c r="G23" s="6"/>
      <c r="H23" s="6"/>
      <c r="I23" s="6"/>
      <c r="J23" s="8">
        <v>0.02</v>
      </c>
      <c r="K23" s="9">
        <v>2500</v>
      </c>
    </row>
    <row r="24" spans="5:11" x14ac:dyDescent="0.2">
      <c r="E24" s="6"/>
      <c r="F24" s="6"/>
      <c r="G24" s="6"/>
      <c r="H24" s="6"/>
      <c r="I24" s="6"/>
      <c r="J24" s="8">
        <v>2.1000000000000001E-2</v>
      </c>
      <c r="K24" s="9">
        <v>2268</v>
      </c>
    </row>
    <row r="25" spans="5:11" x14ac:dyDescent="0.2">
      <c r="E25" s="6"/>
      <c r="F25" s="6"/>
      <c r="G25" s="6"/>
      <c r="H25" s="6"/>
      <c r="I25" s="6"/>
      <c r="J25" s="8">
        <v>2.1999999999999999E-2</v>
      </c>
      <c r="K25" s="9">
        <v>2066</v>
      </c>
    </row>
    <row r="26" spans="5:11" x14ac:dyDescent="0.2">
      <c r="E26" s="6"/>
      <c r="F26" s="6"/>
      <c r="G26" s="6"/>
      <c r="H26" s="6"/>
      <c r="I26" s="6"/>
      <c r="J26" s="8">
        <v>2.3E-2</v>
      </c>
      <c r="K26" s="9">
        <v>1890</v>
      </c>
    </row>
    <row r="27" spans="5:11" x14ac:dyDescent="0.2">
      <c r="E27" s="6"/>
      <c r="F27" s="6"/>
      <c r="G27" s="6"/>
      <c r="H27" s="6"/>
      <c r="I27" s="6"/>
      <c r="J27" s="8">
        <v>2.4E-2</v>
      </c>
      <c r="K27" s="9">
        <v>1736</v>
      </c>
    </row>
    <row r="28" spans="5:11" x14ac:dyDescent="0.2">
      <c r="E28" s="6"/>
      <c r="F28" s="6"/>
      <c r="G28" s="6"/>
      <c r="H28" s="6"/>
      <c r="I28" s="6"/>
      <c r="J28" s="8">
        <v>2.5000000000000001E-2</v>
      </c>
      <c r="K28" s="9">
        <v>1600</v>
      </c>
    </row>
    <row r="29" spans="5:11" x14ac:dyDescent="0.2">
      <c r="E29" s="6"/>
      <c r="F29" s="6"/>
      <c r="G29" s="6"/>
      <c r="H29" s="6"/>
      <c r="I29" s="6"/>
      <c r="J29" s="8">
        <v>2.5999999999999999E-2</v>
      </c>
      <c r="K29" s="9">
        <v>1479</v>
      </c>
    </row>
    <row r="30" spans="5:11" x14ac:dyDescent="0.2">
      <c r="E30" s="6"/>
      <c r="F30" s="6"/>
      <c r="G30" s="6"/>
      <c r="H30" s="6"/>
      <c r="I30" s="6"/>
      <c r="J30" s="8">
        <v>2.7E-2</v>
      </c>
      <c r="K30" s="9">
        <v>1372</v>
      </c>
    </row>
    <row r="31" spans="5:11" x14ac:dyDescent="0.2">
      <c r="E31" s="6"/>
      <c r="F31" s="6"/>
      <c r="G31" s="6"/>
      <c r="H31" s="6"/>
      <c r="I31" s="6"/>
      <c r="J31" s="8">
        <v>2.8000000000000001E-2</v>
      </c>
      <c r="K31" s="9">
        <v>1276</v>
      </c>
    </row>
    <row r="32" spans="5:11" x14ac:dyDescent="0.2">
      <c r="E32" s="6"/>
      <c r="F32" s="6"/>
      <c r="G32" s="6"/>
      <c r="H32" s="6"/>
      <c r="I32" s="6"/>
      <c r="J32" s="8">
        <v>2.9000000000000001E-2</v>
      </c>
      <c r="K32" s="9">
        <v>1189</v>
      </c>
    </row>
    <row r="33" spans="5:11" x14ac:dyDescent="0.2">
      <c r="E33" s="6"/>
      <c r="F33" s="6"/>
      <c r="G33" s="6"/>
      <c r="H33" s="6"/>
      <c r="I33" s="6"/>
      <c r="J33" s="8">
        <v>0.03</v>
      </c>
      <c r="K33" s="9">
        <v>1111</v>
      </c>
    </row>
    <row r="34" spans="5:11" x14ac:dyDescent="0.2">
      <c r="E34" s="6"/>
      <c r="F34" s="6"/>
      <c r="G34" s="6"/>
      <c r="H34" s="6"/>
      <c r="I34" s="6"/>
      <c r="J34" s="8">
        <v>3.1E-2</v>
      </c>
      <c r="K34" s="9">
        <v>1041</v>
      </c>
    </row>
    <row r="35" spans="5:11" x14ac:dyDescent="0.2">
      <c r="E35" s="6"/>
      <c r="F35" s="6"/>
      <c r="G35" s="6"/>
      <c r="H35" s="6"/>
      <c r="I35" s="6"/>
      <c r="J35" s="8">
        <v>3.2000000000000001E-2</v>
      </c>
      <c r="K35" s="9">
        <v>977</v>
      </c>
    </row>
    <row r="36" spans="5:11" x14ac:dyDescent="0.2">
      <c r="E36" s="6"/>
      <c r="F36" s="6"/>
      <c r="G36" s="6"/>
      <c r="H36" s="6"/>
      <c r="I36" s="6"/>
      <c r="J36" s="8">
        <v>3.3000000000000002E-2</v>
      </c>
      <c r="K36" s="9">
        <v>918</v>
      </c>
    </row>
    <row r="37" spans="5:11" x14ac:dyDescent="0.2">
      <c r="E37" s="6"/>
      <c r="F37" s="6"/>
      <c r="G37" s="6"/>
      <c r="H37" s="6"/>
      <c r="I37" s="6"/>
      <c r="J37" s="8">
        <v>3.4000000000000002E-2</v>
      </c>
      <c r="K37" s="9">
        <v>865</v>
      </c>
    </row>
    <row r="38" spans="5:11" x14ac:dyDescent="0.2">
      <c r="E38" s="6"/>
      <c r="F38" s="6"/>
      <c r="G38" s="6"/>
      <c r="H38" s="6"/>
      <c r="I38" s="6"/>
      <c r="J38" s="8">
        <v>3.5000000000000003E-2</v>
      </c>
      <c r="K38" s="9">
        <v>816</v>
      </c>
    </row>
    <row r="39" spans="5:11" x14ac:dyDescent="0.2">
      <c r="E39" s="6"/>
      <c r="F39" s="6"/>
      <c r="G39" s="6"/>
      <c r="H39" s="6"/>
      <c r="I39" s="6"/>
      <c r="J39" s="8">
        <v>3.5999999999999997E-2</v>
      </c>
      <c r="K39" s="9">
        <v>772</v>
      </c>
    </row>
    <row r="40" spans="5:11" x14ac:dyDescent="0.2">
      <c r="E40" s="6"/>
      <c r="F40" s="6"/>
      <c r="G40" s="6"/>
      <c r="H40" s="6"/>
      <c r="I40" s="6"/>
      <c r="J40" s="8">
        <v>3.6999999999999998E-2</v>
      </c>
      <c r="K40" s="9">
        <v>730</v>
      </c>
    </row>
    <row r="41" spans="5:11" x14ac:dyDescent="0.2">
      <c r="E41" s="6"/>
      <c r="F41" s="6"/>
      <c r="G41" s="6"/>
      <c r="H41" s="6"/>
      <c r="I41" s="6"/>
      <c r="J41" s="8">
        <v>3.7999999999999999E-2</v>
      </c>
      <c r="K41" s="9">
        <v>693</v>
      </c>
    </row>
    <row r="42" spans="5:11" x14ac:dyDescent="0.2">
      <c r="E42" s="6"/>
      <c r="F42" s="6"/>
      <c r="G42" s="6"/>
      <c r="H42" s="6"/>
      <c r="I42" s="6"/>
      <c r="J42" s="8">
        <v>3.9E-2</v>
      </c>
      <c r="K42" s="9">
        <v>657</v>
      </c>
    </row>
    <row r="43" spans="5:11" x14ac:dyDescent="0.2">
      <c r="E43" s="6"/>
      <c r="F43" s="6"/>
      <c r="G43" s="6"/>
      <c r="H43" s="6"/>
      <c r="I43" s="6"/>
      <c r="J43" s="8">
        <v>0.04</v>
      </c>
      <c r="K43" s="9">
        <v>625</v>
      </c>
    </row>
    <row r="44" spans="5:11" x14ac:dyDescent="0.2">
      <c r="E44" s="6"/>
      <c r="F44" s="6"/>
      <c r="G44" s="6"/>
      <c r="H44" s="6"/>
      <c r="I44" s="6"/>
      <c r="J44" s="8">
        <v>4.1000000000000002E-2</v>
      </c>
      <c r="K44" s="9">
        <v>595</v>
      </c>
    </row>
    <row r="45" spans="5:11" x14ac:dyDescent="0.2">
      <c r="E45" s="6"/>
      <c r="F45" s="6"/>
      <c r="G45" s="6"/>
      <c r="H45" s="6"/>
      <c r="I45" s="6"/>
      <c r="J45" s="8">
        <v>4.2000000000000003E-2</v>
      </c>
      <c r="K45" s="9">
        <v>567</v>
      </c>
    </row>
    <row r="46" spans="5:11" x14ac:dyDescent="0.2">
      <c r="E46" s="6"/>
      <c r="F46" s="6"/>
      <c r="G46" s="6"/>
      <c r="H46" s="6"/>
      <c r="I46" s="6"/>
      <c r="J46" s="8">
        <v>4.2999999999999997E-2</v>
      </c>
      <c r="K46" s="9">
        <v>541</v>
      </c>
    </row>
    <row r="47" spans="5:11" x14ac:dyDescent="0.2">
      <c r="E47" s="6"/>
      <c r="F47" s="6"/>
      <c r="G47" s="6"/>
      <c r="H47" s="6"/>
      <c r="I47" s="6"/>
      <c r="J47" s="8">
        <v>4.3999999999999997E-2</v>
      </c>
      <c r="K47" s="9">
        <v>517</v>
      </c>
    </row>
    <row r="48" spans="5:11" x14ac:dyDescent="0.2">
      <c r="E48" s="6"/>
      <c r="F48" s="6"/>
      <c r="G48" s="6"/>
      <c r="H48" s="6"/>
      <c r="I48" s="6"/>
      <c r="J48" s="8">
        <v>4.4999999999999998E-2</v>
      </c>
      <c r="K48" s="9">
        <v>494</v>
      </c>
    </row>
    <row r="49" spans="5:11" x14ac:dyDescent="0.2">
      <c r="E49" s="6"/>
      <c r="F49" s="6"/>
      <c r="G49" s="6"/>
      <c r="H49" s="6"/>
      <c r="I49" s="6"/>
      <c r="J49" s="8">
        <v>4.5999999999999999E-2</v>
      </c>
      <c r="K49" s="9">
        <v>473</v>
      </c>
    </row>
    <row r="50" spans="5:11" x14ac:dyDescent="0.2">
      <c r="E50" s="6"/>
      <c r="F50" s="6"/>
      <c r="G50" s="6"/>
      <c r="H50" s="6"/>
      <c r="I50" s="6"/>
      <c r="J50" s="8">
        <v>4.7E-2</v>
      </c>
      <c r="K50" s="9">
        <v>453</v>
      </c>
    </row>
    <row r="51" spans="5:11" x14ac:dyDescent="0.2">
      <c r="E51" s="6"/>
      <c r="F51" s="6"/>
      <c r="G51" s="6"/>
      <c r="H51" s="6"/>
      <c r="I51" s="6"/>
      <c r="J51" s="8">
        <v>4.8000000000000001E-2</v>
      </c>
      <c r="K51" s="9">
        <v>434</v>
      </c>
    </row>
    <row r="52" spans="5:11" x14ac:dyDescent="0.2">
      <c r="E52" s="6"/>
      <c r="F52" s="6"/>
      <c r="G52" s="6"/>
      <c r="H52" s="6"/>
      <c r="I52" s="6"/>
      <c r="J52" s="8">
        <v>4.9000000000000002E-2</v>
      </c>
      <c r="K52" s="9">
        <v>416</v>
      </c>
    </row>
    <row r="53" spans="5:11" x14ac:dyDescent="0.2">
      <c r="E53" s="6"/>
      <c r="F53" s="6"/>
      <c r="G53" s="6"/>
      <c r="H53" s="6"/>
      <c r="I53" s="6"/>
      <c r="J53" s="8">
        <v>0.05</v>
      </c>
      <c r="K53" s="9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2022-02-01T20:46:29Z</dcterms:created>
  <dcterms:modified xsi:type="dcterms:W3CDTF">2022-02-02T00:52:28Z</dcterms:modified>
</cp:coreProperties>
</file>