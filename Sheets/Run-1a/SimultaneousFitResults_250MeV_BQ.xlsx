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Run-1a/"/>
    </mc:Choice>
  </mc:AlternateContent>
  <xr:revisionPtr revIDLastSave="0" documentId="13_ncr:40009_{E23641EE-B724-A044-81DD-CD6A49F845B6}" xr6:coauthVersionLast="47" xr6:coauthVersionMax="47" xr10:uidLastSave="{00000000-0000-0000-0000-000000000000}"/>
  <bookViews>
    <workbookView xWindow="780" yWindow="1000" windowWidth="27640" windowHeight="16440"/>
  </bookViews>
  <sheets>
    <sheet name="SimultaneousFitResults_250MeV_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5" i="1"/>
  <c r="L6" i="1"/>
  <c r="L7" i="1"/>
  <c r="L5" i="1"/>
  <c r="K6" i="1"/>
  <c r="K7" i="1"/>
  <c r="K5" i="1"/>
  <c r="J6" i="1"/>
  <c r="J5" i="1"/>
  <c r="J7" i="1"/>
</calcChain>
</file>

<file path=xl/sharedStrings.xml><?xml version="1.0" encoding="utf-8"?>
<sst xmlns="http://schemas.openxmlformats.org/spreadsheetml/2006/main" count="22" uniqueCount="15">
  <si>
    <t xml:space="preserve">******* Results ******* </t>
  </si>
  <si>
    <t>chi2ndf</t>
  </si>
  <si>
    <t xml:space="preserve"> A_EDM^{BLIND}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</si>
  <si>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</si>
  <si>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</si>
  <si>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</si>
  <si>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</si>
  <si>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</si>
  <si>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S12</t>
  </si>
  <si>
    <t>S18</t>
  </si>
  <si>
    <t>S12S18</t>
  </si>
  <si>
    <t xml:space="preserve">Bz/By [ppm] </t>
  </si>
  <si>
    <t>dMu [ecm]</t>
  </si>
  <si>
    <t>dilution</t>
  </si>
  <si>
    <t>mrad2ecm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</si>
</sst>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M10" sqref="M10"/>
    </sheetView>
  </sheetViews>
  <sheetFormatPr baseColWidth="10" defaultRowHeight="16" x14ac:dyDescent="0.2"/>
  <cols>
    <col min="10" max="11" width="12.1640625" bestFit="1" customWidth="1"/>
    <col min="13" max="13" width="13.6640625" bestFit="1" customWidth="1"/>
  </cols>
  <sheetData>
    <row r="1" spans="1:13" x14ac:dyDescent="0.2">
      <c r="A1" t="s">
        <v>14</v>
      </c>
      <c r="B1" s="1">
        <v>3.1922200000000001E-18</v>
      </c>
    </row>
    <row r="2" spans="1:13" x14ac:dyDescent="0.2">
      <c r="A2" t="s">
        <v>0</v>
      </c>
    </row>
    <row r="3" spans="1:13" x14ac:dyDescent="0.2">
      <c r="B3" t="s">
        <v>1</v>
      </c>
      <c r="C3" t="s">
        <v>2</v>
      </c>
      <c r="E3" t="s">
        <v>3</v>
      </c>
      <c r="G3" t="s">
        <v>4</v>
      </c>
      <c r="J3" t="s">
        <v>12</v>
      </c>
      <c r="L3" t="s">
        <v>11</v>
      </c>
    </row>
    <row r="4" spans="1:13" x14ac:dyDescent="0.2">
      <c r="A4" t="s">
        <v>5</v>
      </c>
      <c r="B4" t="s">
        <v>6</v>
      </c>
      <c r="C4" t="s">
        <v>6</v>
      </c>
      <c r="D4" t="s">
        <v>7</v>
      </c>
      <c r="E4" t="s">
        <v>6</v>
      </c>
      <c r="F4" t="s">
        <v>7</v>
      </c>
      <c r="G4" t="s">
        <v>6</v>
      </c>
      <c r="H4" t="s">
        <v>7</v>
      </c>
      <c r="I4" t="s">
        <v>13</v>
      </c>
      <c r="L4" t="s">
        <v>6</v>
      </c>
      <c r="M4" t="s">
        <v>7</v>
      </c>
    </row>
    <row r="5" spans="1:13" x14ac:dyDescent="0.2">
      <c r="A5" t="s">
        <v>8</v>
      </c>
      <c r="B5">
        <v>0.93944499999999997</v>
      </c>
      <c r="C5">
        <v>5.3052000000000002E-2</v>
      </c>
      <c r="D5">
        <v>8.7868600000000005E-3</v>
      </c>
      <c r="E5">
        <v>7.0716099999999999E-4</v>
      </c>
      <c r="F5">
        <v>8.7732499999999998E-3</v>
      </c>
      <c r="G5">
        <v>-0.18895899999999999</v>
      </c>
      <c r="H5">
        <v>6.2167699999999999E-3</v>
      </c>
      <c r="I5">
        <v>0.09</v>
      </c>
      <c r="J5" s="1">
        <f>(C5/I5) * $B$1</f>
        <v>1.881707282666667E-18</v>
      </c>
      <c r="K5" s="1">
        <f>(D5/I5) * $B$1</f>
        <v>3.1166211365777784E-19</v>
      </c>
      <c r="L5" s="2">
        <f>E5/I5*1000</f>
        <v>7.8573444444444451</v>
      </c>
      <c r="M5" s="2">
        <f>F5/I5*1000</f>
        <v>97.480555555555554</v>
      </c>
    </row>
    <row r="6" spans="1:13" x14ac:dyDescent="0.2">
      <c r="A6" t="s">
        <v>9</v>
      </c>
      <c r="B6">
        <v>1.2779400000000001</v>
      </c>
      <c r="C6">
        <v>2.0382000000000001E-2</v>
      </c>
      <c r="D6">
        <v>9.1912999999999995E-3</v>
      </c>
      <c r="E6">
        <v>1.47697E-2</v>
      </c>
      <c r="F6">
        <v>9.1721700000000003E-3</v>
      </c>
      <c r="G6">
        <v>-0.25687599999999999</v>
      </c>
      <c r="H6">
        <v>6.5001599999999996E-3</v>
      </c>
      <c r="I6">
        <v>7.0000000000000007E-2</v>
      </c>
      <c r="J6" s="1">
        <f>(C6/I6) * $B$1</f>
        <v>9.2948325771428585E-19</v>
      </c>
      <c r="K6" s="1">
        <f>(D6/I6) * $B$1</f>
        <v>4.1915216694285714E-19</v>
      </c>
      <c r="L6" s="2">
        <f t="shared" ref="L6:L7" si="0">E6/I6*1000</f>
        <v>210.99571428571426</v>
      </c>
      <c r="M6" s="2">
        <f t="shared" ref="M6:M7" si="1">F6/I6*1000</f>
        <v>131.03099999999998</v>
      </c>
    </row>
    <row r="7" spans="1:13" x14ac:dyDescent="0.2">
      <c r="A7" t="s">
        <v>10</v>
      </c>
      <c r="B7">
        <v>1.16889</v>
      </c>
      <c r="C7">
        <v>3.7380999999999998E-2</v>
      </c>
      <c r="D7">
        <v>6.35156E-3</v>
      </c>
      <c r="E7">
        <v>7.5445299999999998E-3</v>
      </c>
      <c r="F7">
        <v>6.3400899999999996E-3</v>
      </c>
      <c r="G7">
        <v>-0.221526</v>
      </c>
      <c r="H7">
        <v>4.4928600000000004E-3</v>
      </c>
      <c r="I7">
        <v>0.08</v>
      </c>
      <c r="J7" s="1">
        <f>(C7/I7) * $B$1</f>
        <v>1.49160469775E-18</v>
      </c>
      <c r="K7" s="1">
        <f>(D7/I7) * $B$1</f>
        <v>2.5344471078999997E-19</v>
      </c>
      <c r="L7" s="2">
        <f t="shared" si="0"/>
        <v>94.306624999999997</v>
      </c>
      <c r="M7" s="2">
        <f t="shared" si="1"/>
        <v>79.251124999999988</v>
      </c>
    </row>
  </sheetData>
  <pageMargins left="0.75" right="0.75" top="1" bottom="1" header="0.5" footer="0.5"/>
</worksheet>
</file>