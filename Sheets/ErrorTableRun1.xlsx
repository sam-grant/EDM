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9885965B-6F66-F841-B64F-DA11FE40A57C}" xr6:coauthVersionLast="47" xr6:coauthVersionMax="47" xr10:uidLastSave="{00000000-0000-0000-0000-000000000000}"/>
  <bookViews>
    <workbookView xWindow="-20" yWindow="500" windowWidth="13960" windowHeight="17500" activeTab="1" xr2:uid="{C29EF40E-6384-C447-AF4D-92516C1B0710}"/>
  </bookViews>
  <sheets>
    <sheet name="Run-1 (main)" sheetId="19" r:id="rId1"/>
    <sheet name="Run-1 (noAccCorr) " sheetId="21" r:id="rId2"/>
    <sheet name="Run-1 (noDilCorr) " sheetId="22" r:id="rId3"/>
    <sheet name="Run-1 (noVertCorr)" sheetId="2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19" l="1"/>
  <c r="B27" i="22"/>
  <c r="F18" i="22"/>
  <c r="F17" i="22"/>
  <c r="E17" i="22"/>
  <c r="D17" i="22"/>
  <c r="D18" i="22" s="1"/>
  <c r="C17" i="22"/>
  <c r="B17" i="22"/>
  <c r="E16" i="22"/>
  <c r="D16" i="22"/>
  <c r="C16" i="22"/>
  <c r="B16" i="22"/>
  <c r="F13" i="22"/>
  <c r="E13" i="22"/>
  <c r="D13" i="22"/>
  <c r="C13" i="22"/>
  <c r="B13" i="22"/>
  <c r="E12" i="22"/>
  <c r="D12" i="22"/>
  <c r="C12" i="22"/>
  <c r="B12" i="22"/>
  <c r="F9" i="22"/>
  <c r="E9" i="22"/>
  <c r="D9" i="22"/>
  <c r="D10" i="22" s="1"/>
  <c r="C9" i="22"/>
  <c r="B9" i="22"/>
  <c r="E8" i="22"/>
  <c r="D8" i="22"/>
  <c r="C8" i="22"/>
  <c r="B8" i="22"/>
  <c r="E3" i="22"/>
  <c r="E4" i="22" s="1"/>
  <c r="D3" i="22"/>
  <c r="C3" i="22"/>
  <c r="B3" i="22"/>
  <c r="E2" i="22"/>
  <c r="D2" i="22"/>
  <c r="D4" i="22" s="1"/>
  <c r="C2" i="22"/>
  <c r="C18" i="22" s="1"/>
  <c r="B2" i="22"/>
  <c r="B14" i="22" s="1"/>
  <c r="B27" i="21"/>
  <c r="F18" i="21"/>
  <c r="F17" i="21"/>
  <c r="E17" i="21"/>
  <c r="D17" i="21"/>
  <c r="C17" i="21"/>
  <c r="C18" i="21" s="1"/>
  <c r="B17" i="21"/>
  <c r="E16" i="21"/>
  <c r="D16" i="21"/>
  <c r="C16" i="21"/>
  <c r="B16" i="21"/>
  <c r="F13" i="21"/>
  <c r="E13" i="21"/>
  <c r="D13" i="21"/>
  <c r="C13" i="21"/>
  <c r="B13" i="21"/>
  <c r="E12" i="21"/>
  <c r="D12" i="21"/>
  <c r="C12" i="21"/>
  <c r="B12" i="21"/>
  <c r="F9" i="21"/>
  <c r="E9" i="21"/>
  <c r="D9" i="21"/>
  <c r="C9" i="21"/>
  <c r="B9" i="21"/>
  <c r="E8" i="21"/>
  <c r="D8" i="21"/>
  <c r="C8" i="21"/>
  <c r="B8" i="21"/>
  <c r="E3" i="21"/>
  <c r="E4" i="21" s="1"/>
  <c r="D3" i="21"/>
  <c r="C3" i="21"/>
  <c r="B3" i="21"/>
  <c r="E2" i="21"/>
  <c r="D2" i="21"/>
  <c r="D18" i="21" s="1"/>
  <c r="C2" i="21"/>
  <c r="B2" i="21"/>
  <c r="B27" i="20"/>
  <c r="F18" i="20"/>
  <c r="F17" i="20"/>
  <c r="E17" i="20"/>
  <c r="E21" i="20" s="1"/>
  <c r="E22" i="20" s="1"/>
  <c r="D17" i="20"/>
  <c r="C17" i="20"/>
  <c r="B17" i="20"/>
  <c r="E16" i="20"/>
  <c r="D16" i="20"/>
  <c r="C16" i="20"/>
  <c r="B16" i="20"/>
  <c r="F13" i="20"/>
  <c r="E13" i="20"/>
  <c r="D13" i="20"/>
  <c r="C13" i="20"/>
  <c r="B13" i="20"/>
  <c r="E12" i="20"/>
  <c r="D12" i="20"/>
  <c r="C12" i="20"/>
  <c r="B12" i="20"/>
  <c r="F9" i="20"/>
  <c r="E9" i="20"/>
  <c r="D9" i="20"/>
  <c r="C9" i="20"/>
  <c r="B9" i="20"/>
  <c r="E8" i="20"/>
  <c r="D8" i="20"/>
  <c r="C8" i="20"/>
  <c r="B8" i="20"/>
  <c r="E3" i="20"/>
  <c r="D3" i="20"/>
  <c r="D4" i="20" s="1"/>
  <c r="C3" i="20"/>
  <c r="B3" i="20"/>
  <c r="E2" i="20"/>
  <c r="E10" i="20" s="1"/>
  <c r="D2" i="20"/>
  <c r="C2" i="20"/>
  <c r="C4" i="20" s="1"/>
  <c r="B2" i="20"/>
  <c r="B14" i="20" s="1"/>
  <c r="B27" i="19"/>
  <c r="F18" i="19"/>
  <c r="F17" i="19"/>
  <c r="E17" i="19"/>
  <c r="D17" i="19"/>
  <c r="C17" i="19"/>
  <c r="B17" i="19"/>
  <c r="E16" i="19"/>
  <c r="D16" i="19"/>
  <c r="C16" i="19"/>
  <c r="B16" i="19"/>
  <c r="F13" i="19"/>
  <c r="E13" i="19"/>
  <c r="D13" i="19"/>
  <c r="C13" i="19"/>
  <c r="B13" i="19"/>
  <c r="E12" i="19"/>
  <c r="D12" i="19"/>
  <c r="C12" i="19"/>
  <c r="B12" i="19"/>
  <c r="F9" i="19"/>
  <c r="E9" i="19"/>
  <c r="E10" i="19" s="1"/>
  <c r="D9" i="19"/>
  <c r="D10" i="19" s="1"/>
  <c r="C9" i="19"/>
  <c r="B9" i="19"/>
  <c r="E8" i="19"/>
  <c r="D8" i="19"/>
  <c r="C8" i="19"/>
  <c r="B8" i="19"/>
  <c r="E4" i="19"/>
  <c r="D4" i="19"/>
  <c r="E3" i="19"/>
  <c r="D3" i="19"/>
  <c r="C3" i="19"/>
  <c r="B3" i="19"/>
  <c r="E2" i="19"/>
  <c r="D2" i="19"/>
  <c r="C2" i="19"/>
  <c r="C18" i="19" s="1"/>
  <c r="B2" i="19"/>
  <c r="E21" i="21" l="1"/>
  <c r="E26" i="21" s="1"/>
  <c r="D10" i="21"/>
  <c r="F2" i="21"/>
  <c r="C10" i="21"/>
  <c r="B10" i="21"/>
  <c r="B21" i="22"/>
  <c r="B22" i="22" s="1"/>
  <c r="B10" i="22"/>
  <c r="C14" i="20"/>
  <c r="B21" i="20"/>
  <c r="B22" i="20" s="1"/>
  <c r="E14" i="19"/>
  <c r="C4" i="19"/>
  <c r="C10" i="19"/>
  <c r="B18" i="19"/>
  <c r="E21" i="22"/>
  <c r="E22" i="22" s="1"/>
  <c r="E10" i="22"/>
  <c r="E26" i="22"/>
  <c r="F14" i="22"/>
  <c r="E14" i="22"/>
  <c r="D21" i="22"/>
  <c r="D26" i="22" s="1"/>
  <c r="C4" i="22"/>
  <c r="C21" i="22"/>
  <c r="C26" i="22" s="1"/>
  <c r="F10" i="22"/>
  <c r="B26" i="22"/>
  <c r="F3" i="22"/>
  <c r="B4" i="22"/>
  <c r="F4" i="22" s="1"/>
  <c r="C10" i="22"/>
  <c r="D14" i="22"/>
  <c r="E18" i="22"/>
  <c r="B18" i="22"/>
  <c r="C14" i="22"/>
  <c r="F2" i="22"/>
  <c r="F14" i="21"/>
  <c r="E10" i="21"/>
  <c r="E14" i="21"/>
  <c r="D21" i="21"/>
  <c r="D22" i="21" s="1"/>
  <c r="D4" i="21"/>
  <c r="F10" i="21"/>
  <c r="C14" i="21"/>
  <c r="C4" i="21"/>
  <c r="B21" i="21"/>
  <c r="B22" i="21" s="1"/>
  <c r="B14" i="21"/>
  <c r="F3" i="21"/>
  <c r="C21" i="21"/>
  <c r="B4" i="21"/>
  <c r="D14" i="21"/>
  <c r="F12" i="21" s="1"/>
  <c r="E18" i="21"/>
  <c r="B18" i="21"/>
  <c r="E26" i="20"/>
  <c r="E14" i="20"/>
  <c r="F12" i="20" s="1"/>
  <c r="F14" i="20"/>
  <c r="D14" i="20"/>
  <c r="D10" i="20"/>
  <c r="D21" i="20"/>
  <c r="D22" i="20" s="1"/>
  <c r="C21" i="20"/>
  <c r="C22" i="20" s="1"/>
  <c r="C18" i="20"/>
  <c r="F10" i="20"/>
  <c r="C26" i="20"/>
  <c r="C10" i="20"/>
  <c r="B18" i="20"/>
  <c r="B26" i="20"/>
  <c r="F3" i="20"/>
  <c r="E4" i="20"/>
  <c r="B10" i="20"/>
  <c r="D18" i="20"/>
  <c r="F2" i="20"/>
  <c r="B4" i="20"/>
  <c r="F4" i="20" s="1"/>
  <c r="E18" i="20"/>
  <c r="E21" i="19"/>
  <c r="E22" i="19" s="1"/>
  <c r="D14" i="19"/>
  <c r="D21" i="19"/>
  <c r="D22" i="19" s="1"/>
  <c r="F10" i="19"/>
  <c r="F14" i="19"/>
  <c r="C21" i="19"/>
  <c r="C22" i="19" s="1"/>
  <c r="B21" i="19"/>
  <c r="B22" i="19" s="1"/>
  <c r="B14" i="19"/>
  <c r="E26" i="19"/>
  <c r="F8" i="19"/>
  <c r="D18" i="19"/>
  <c r="C14" i="19"/>
  <c r="B4" i="19"/>
  <c r="F4" i="19" s="1"/>
  <c r="E18" i="19"/>
  <c r="F3" i="19"/>
  <c r="F2" i="19"/>
  <c r="E22" i="21" l="1"/>
  <c r="F8" i="21"/>
  <c r="D26" i="21"/>
  <c r="B26" i="21"/>
  <c r="F8" i="22"/>
  <c r="D26" i="20"/>
  <c r="D26" i="19"/>
  <c r="C26" i="19"/>
  <c r="F12" i="19"/>
  <c r="D22" i="22"/>
  <c r="F12" i="22"/>
  <c r="C22" i="22"/>
  <c r="F16" i="22"/>
  <c r="F16" i="21"/>
  <c r="F4" i="21"/>
  <c r="C26" i="21"/>
  <c r="C22" i="21"/>
  <c r="F8" i="20"/>
  <c r="F16" i="20"/>
  <c r="F16" i="19"/>
  <c r="B26" i="19"/>
</calcChain>
</file>

<file path=xl/sharedStrings.xml><?xml version="1.0" encoding="utf-8"?>
<sst xmlns="http://schemas.openxmlformats.org/spreadsheetml/2006/main" count="380" uniqueCount="35">
  <si>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</si>
  <si>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</si>
  <si>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</si>
  <si>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</si>
  <si>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</si>
  <si>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</si>
  <si>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</si>
  <si>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</si>
  <si>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</si>
  <si>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</si>
  <si>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</si>
  <si>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</si>
  <si>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</si>
  <si>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</si>
  <si>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</si>
  <si>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</si>
  <si>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</si>
  <si>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</si>
  <si>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</si>
  <si>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</si>
  <si>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</si>
  <si>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</si>
  <si>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</si>
  <si>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</si>
  <si>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</si>
  <si>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</si>
  <si>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</si>
  <si>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Rounding error [ecm]</t>
  </si>
  <si>
    <t xml:space="preserve"> delta_prime</t>
  </si>
  <si>
    <t xml:space="preserve"> </t>
  </si>
  <si>
    <t xml:space="preserve"> dMu [ecm]</t>
  </si>
  <si>
    <t>pol0 fit error [mrad]</t>
  </si>
  <si>
    <t>pol0 error [ecm]</t>
  </si>
  <si>
    <t>pol0 error  [%]</t>
  </si>
  <si>
    <t>Raw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</si>
</sst>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11" fontId="0" fillId="0" borderId="0" xfId="0" applyNumberForma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2" fillId="0" borderId="0" xfId="0" applyFont="1"/>
    <xf numFmtId="11" fontId="0" fillId="0" borderId="2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2" fillId="0" borderId="5" xfId="0" applyFont="1" applyBorder="1"/>
    <xf numFmtId="0" fontId="2" fillId="0" borderId="4" xfId="0" applyFont="1" applyBorder="1"/>
    <xf numFmtId="11" fontId="0" fillId="0" borderId="4" xfId="0" applyNumberFormat="1" applyBorder="1"/>
    <xf numFmtId="164" fontId="0" fillId="0" borderId="5" xfId="1" applyNumberFormat="1" applyFont="1" applyBorder="1"/>
    <xf numFmtId="11" fontId="0" fillId="0" borderId="6" xfId="0" applyNumberFormat="1" applyBorder="1"/>
    <xf numFmtId="0" fontId="2" fillId="0" borderId="6" xfId="0" applyFont="1" applyBorder="1"/>
    <xf numFmtId="10" fontId="0" fillId="0" borderId="5" xfId="1" applyNumberFormat="1" applyFont="1" applyBorder="1"/>
    <xf numFmtId="0" fontId="0" fillId="0" borderId="7" xfId="0" applyBorder="1"/>
    <xf numFmtId="9" fontId="0" fillId="0" borderId="7" xfId="1" applyFont="1" applyBorder="1"/>
    <xf numFmtId="0" fontId="0" fillId="0" borderId="3" xfId="0" applyBorder="1"/>
    <xf numFmtId="0" fontId="2" fillId="0" borderId="7" xfId="0" applyFont="1" applyBorder="1"/>
    <xf numFmtId="0" fontId="2" fillId="0" borderId="2" xfId="0" applyFont="1" applyBorder="1"/>
    <xf numFmtId="0" fontId="0" fillId="0" borderId="0" xfId="0" applyBorder="1"/>
    <xf numFmtId="0" fontId="2" fillId="0" borderId="0" xfId="0" applyFont="1" applyFill="1" applyBorder="1"/>
    <xf numFmtId="9" fontId="0" fillId="0" borderId="3" xfId="1" applyFont="1" applyBorder="1"/>
    <xf numFmtId="0" fontId="2" fillId="0" borderId="0" xfId="0" applyFont="1" applyFill="1" applyBorder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FC9BD-960C-B249-A82F-F026B7E24375}">
  <dimension ref="A1:R29"/>
  <sheetViews>
    <sheetView topLeftCell="H1" zoomScale="75" workbookViewId="0">
      <selection activeCell="R24" sqref="H21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1.3473899999999999E-18</v>
      </c>
      <c r="C2" s="12">
        <f>N12</f>
        <v>1.21855E-18</v>
      </c>
      <c r="D2" s="12">
        <f>N18</f>
        <v>1.9354999999999998E-18</v>
      </c>
      <c r="E2" s="12">
        <f>N24</f>
        <v>1.62073E-18</v>
      </c>
      <c r="F2" s="1">
        <f>SQRT(B2^2+C2^2+D2^2+E2^2)/4</f>
        <v>7.7754621637157361E-19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2.49557E-19</v>
      </c>
      <c r="C3" s="14">
        <f>R12</f>
        <v>2.14E-19</v>
      </c>
      <c r="D3" s="14">
        <f>R18</f>
        <v>1.80119E-19</v>
      </c>
      <c r="E3" s="14">
        <f>R24</f>
        <v>1.3430599999999999E-19</v>
      </c>
      <c r="F3" s="1">
        <f t="shared" ref="F3:F4" si="0">SQRT(B3^2+C3^2+D3^2+E3^2)/4</f>
        <v>9.954761801708265E-20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0.18521511960160014</v>
      </c>
      <c r="C4" s="13">
        <f t="shared" ref="C4:E4" si="1">C3/C2</f>
        <v>0.17561856304624349</v>
      </c>
      <c r="D4" s="13">
        <f t="shared" si="1"/>
        <v>9.306070782743478E-2</v>
      </c>
      <c r="E4" s="16">
        <f t="shared" si="1"/>
        <v>8.2867596700252344E-2</v>
      </c>
      <c r="F4" s="1">
        <f t="shared" si="0"/>
        <v>7.1007857901292035E-2</v>
      </c>
      <c r="H4" t="s">
        <v>24</v>
      </c>
      <c r="I4">
        <v>0.611371</v>
      </c>
      <c r="J4">
        <v>0.102344</v>
      </c>
      <c r="K4">
        <v>1.1754000000000001E-2</v>
      </c>
      <c r="L4">
        <v>6.6709999999999998E-3</v>
      </c>
      <c r="M4">
        <v>0.10323300000000001</v>
      </c>
      <c r="N4" s="1">
        <v>1.88672E-18</v>
      </c>
      <c r="O4" s="1">
        <v>3.2670499999999998E-19</v>
      </c>
      <c r="P4" s="1">
        <v>3.7519999999999997E-20</v>
      </c>
      <c r="Q4" s="1">
        <v>2.1296100000000001E-20</v>
      </c>
      <c r="R4" s="1">
        <v>3.2954200000000002E-19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0.24547099999999999</v>
      </c>
      <c r="J5">
        <v>0.115968</v>
      </c>
      <c r="K5">
        <v>4.7109999999999999E-3</v>
      </c>
      <c r="L5">
        <v>6.6709999999999998E-3</v>
      </c>
      <c r="M5">
        <v>0.116255</v>
      </c>
      <c r="N5" s="1">
        <v>7.1868699999999997E-19</v>
      </c>
      <c r="O5" s="1">
        <v>3.7019699999999998E-19</v>
      </c>
      <c r="P5" s="1">
        <v>1.5037600000000001E-20</v>
      </c>
      <c r="Q5" s="1">
        <v>2.1296100000000001E-20</v>
      </c>
      <c r="R5" s="1">
        <v>3.71113E-19</v>
      </c>
    </row>
    <row r="6" spans="1:18" x14ac:dyDescent="0.2">
      <c r="A6" s="23" t="s">
        <v>15</v>
      </c>
      <c r="E6" s="22"/>
      <c r="F6" s="1"/>
      <c r="H6" t="s">
        <v>26</v>
      </c>
      <c r="I6">
        <v>0.44241999999999998</v>
      </c>
      <c r="J6">
        <v>7.7425999999999995E-2</v>
      </c>
      <c r="K6">
        <v>8.5000000000000006E-3</v>
      </c>
      <c r="L6">
        <v>6.6709999999999998E-3</v>
      </c>
      <c r="M6">
        <v>7.8176999999999996E-2</v>
      </c>
      <c r="N6" s="1">
        <v>1.3473899999999999E-18</v>
      </c>
      <c r="O6" s="1">
        <v>2.4716199999999999E-19</v>
      </c>
      <c r="P6" s="1">
        <v>2.7133899999999999E-20</v>
      </c>
      <c r="Q6" s="1">
        <v>2.1296100000000001E-20</v>
      </c>
      <c r="R6" s="1">
        <v>2.49557E-19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8.0469799886015974E-3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1.5805446084652553E-2</v>
      </c>
      <c r="C10" s="16">
        <f>C9/C2</f>
        <v>1.9744696565590251E-2</v>
      </c>
      <c r="D10" s="16">
        <f>D9/D2</f>
        <v>1.2503694135882202E-2</v>
      </c>
      <c r="E10" s="16">
        <f>E9/E2</f>
        <v>1.5493697284556959E-2</v>
      </c>
      <c r="F10" s="2">
        <f>SQRT(B12^2+C12^2+D12^2+E12^2)/4</f>
        <v>5.0437365117539596E-3</v>
      </c>
      <c r="H10" t="s">
        <v>24</v>
      </c>
      <c r="I10">
        <v>0.34085799999999999</v>
      </c>
      <c r="J10">
        <v>8.7390999999999996E-2</v>
      </c>
      <c r="K10">
        <v>6.842E-3</v>
      </c>
      <c r="L10">
        <v>7.5370000000000003E-3</v>
      </c>
      <c r="M10">
        <v>8.7982000000000005E-2</v>
      </c>
      <c r="N10" s="1">
        <v>1.0210399999999999E-18</v>
      </c>
      <c r="O10" s="1">
        <v>2.7897100000000002E-19</v>
      </c>
      <c r="P10" s="1">
        <v>2.1840599999999999E-20</v>
      </c>
      <c r="Q10" s="1">
        <v>2.4059899999999999E-20</v>
      </c>
      <c r="R10" s="1">
        <v>2.8085699999999998E-19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0.47459499999999999</v>
      </c>
      <c r="J11">
        <v>9.9124000000000004E-2</v>
      </c>
      <c r="K11">
        <v>9.1170000000000001E-3</v>
      </c>
      <c r="L11">
        <v>7.5370000000000003E-3</v>
      </c>
      <c r="M11">
        <v>9.9828E-2</v>
      </c>
      <c r="N11" s="1">
        <v>1.44796E-18</v>
      </c>
      <c r="O11" s="1">
        <v>3.1642700000000002E-19</v>
      </c>
      <c r="P11" s="1">
        <v>2.9103199999999997E-20</v>
      </c>
      <c r="Q11" s="1">
        <v>2.4059899999999999E-20</v>
      </c>
      <c r="R11" s="1">
        <v>3.1867199999999998E-19</v>
      </c>
    </row>
    <row r="12" spans="1:18" x14ac:dyDescent="0.2">
      <c r="A12" s="15" t="s">
        <v>12</v>
      </c>
      <c r="B12" s="14">
        <f>K6</f>
        <v>8.5000000000000006E-3</v>
      </c>
      <c r="C12" s="12">
        <f>K12</f>
        <v>7.868E-3</v>
      </c>
      <c r="D12" s="12">
        <f>K18</f>
        <v>1.2567999999999999E-2</v>
      </c>
      <c r="E12" s="12">
        <f>K24</f>
        <v>1.072E-2</v>
      </c>
      <c r="F12" s="1">
        <f>SQRT(B14^2+C14^2+D14^2+E14^2)/4</f>
        <v>1.0325742465858058E-2</v>
      </c>
      <c r="H12" t="s">
        <v>26</v>
      </c>
      <c r="I12">
        <v>0.40272999999999998</v>
      </c>
      <c r="J12">
        <v>6.6146999999999997E-2</v>
      </c>
      <c r="K12">
        <v>7.868E-3</v>
      </c>
      <c r="L12">
        <v>7.5370000000000003E-3</v>
      </c>
      <c r="M12">
        <v>6.7038E-2</v>
      </c>
      <c r="N12" s="1">
        <v>1.21855E-18</v>
      </c>
      <c r="O12" s="1">
        <v>2.1115499999999999E-19</v>
      </c>
      <c r="P12" s="1">
        <v>2.51178E-20</v>
      </c>
      <c r="Q12" s="1">
        <v>2.4059899999999999E-20</v>
      </c>
      <c r="R12" s="1">
        <v>2.14E-19</v>
      </c>
    </row>
    <row r="13" spans="1:18" x14ac:dyDescent="0.2">
      <c r="A13" s="15" t="s">
        <v>9</v>
      </c>
      <c r="B13" s="14">
        <f>P6</f>
        <v>2.7133899999999999E-20</v>
      </c>
      <c r="C13" s="14">
        <f>P12</f>
        <v>2.51178E-20</v>
      </c>
      <c r="D13" s="14">
        <f>P18</f>
        <v>4.01203E-20</v>
      </c>
      <c r="E13" s="14">
        <f>P24</f>
        <v>3.4221000000000001E-20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2.0138118881689787E-2</v>
      </c>
      <c r="C14" s="16">
        <f>C13/C2</f>
        <v>2.0612859546181937E-2</v>
      </c>
      <c r="D14" s="16">
        <f>D13/D2</f>
        <v>2.0728648927925603E-2</v>
      </c>
      <c r="E14" s="16">
        <f>E13/E2</f>
        <v>2.1114559488625496E-2</v>
      </c>
      <c r="F14" s="2">
        <f>SQRT(B16^2+C16^2+D16^2+E16^2)/4</f>
        <v>3.054900397107899E-2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7.7425999999999995E-2</v>
      </c>
      <c r="C16" s="12">
        <f>J12</f>
        <v>6.6146999999999997E-2</v>
      </c>
      <c r="D16" s="12">
        <f>J18</f>
        <v>5.4482000000000003E-2</v>
      </c>
      <c r="E16" s="12">
        <f>J24</f>
        <v>3.9917000000000001E-2</v>
      </c>
      <c r="F16" s="1">
        <f>SQRT(B18^2+C18^2+D18^2+E18^2)/4</f>
        <v>6.9790812536809327E-2</v>
      </c>
      <c r="H16" t="s">
        <v>24</v>
      </c>
      <c r="I16">
        <v>0.60229999999999995</v>
      </c>
      <c r="J16">
        <v>7.1680999999999995E-2</v>
      </c>
      <c r="K16">
        <v>1.2189E-2</v>
      </c>
      <c r="L16">
        <v>7.5810000000000001E-3</v>
      </c>
      <c r="M16">
        <v>7.3104000000000002E-2</v>
      </c>
      <c r="N16" s="1">
        <v>1.83529E-18</v>
      </c>
      <c r="O16" s="1">
        <v>2.2882099999999999E-19</v>
      </c>
      <c r="P16" s="1">
        <v>3.8910899999999998E-20</v>
      </c>
      <c r="Q16" s="1">
        <v>2.4200900000000001E-20</v>
      </c>
      <c r="R16" s="1">
        <v>2.33364E-19</v>
      </c>
    </row>
    <row r="17" spans="1:18" x14ac:dyDescent="0.2">
      <c r="A17" s="15" t="s">
        <v>32</v>
      </c>
      <c r="B17" s="14">
        <f>O6</f>
        <v>2.4716199999999999E-19</v>
      </c>
      <c r="C17" s="14">
        <f>O12</f>
        <v>2.1115499999999999E-19</v>
      </c>
      <c r="D17" s="14">
        <f>O18</f>
        <v>1.7391799999999999E-19</v>
      </c>
      <c r="E17" s="14">
        <f>O24</f>
        <v>1.2742300000000001E-19</v>
      </c>
      <c r="F17" s="1">
        <f>SQRT(B19^2+C19^2+D19^2+E19^2)/4</f>
        <v>0</v>
      </c>
      <c r="H17" t="s">
        <v>25</v>
      </c>
      <c r="I17">
        <v>0.65904099999999999</v>
      </c>
      <c r="J17">
        <v>8.2004999999999995E-2</v>
      </c>
      <c r="K17">
        <v>1.2782E-2</v>
      </c>
      <c r="L17">
        <v>7.5810000000000001E-3</v>
      </c>
      <c r="M17">
        <v>8.3340999999999998E-2</v>
      </c>
      <c r="N17" s="1">
        <v>2.0164200000000002E-18</v>
      </c>
      <c r="O17" s="1">
        <v>2.6177799999999998E-19</v>
      </c>
      <c r="P17" s="1">
        <v>4.0803800000000001E-20</v>
      </c>
      <c r="Q17" s="1">
        <v>2.4200900000000001E-20</v>
      </c>
      <c r="R17" s="1">
        <v>2.6604199999999998E-19</v>
      </c>
    </row>
    <row r="18" spans="1:18" x14ac:dyDescent="0.2">
      <c r="A18" s="10" t="s">
        <v>33</v>
      </c>
      <c r="B18" s="13">
        <f>B17/B2</f>
        <v>0.18343760900704326</v>
      </c>
      <c r="C18" s="13">
        <f>C17/C2</f>
        <v>0.1732838209347175</v>
      </c>
      <c r="D18" s="16">
        <f>D17/D2</f>
        <v>8.9856884525962286E-2</v>
      </c>
      <c r="E18" s="16">
        <f>E17/E2</f>
        <v>7.8620744972944301E-2</v>
      </c>
      <c r="F18" s="2">
        <f>SQRT(B20^2+C20^2+D20^2+E20^2)/4</f>
        <v>0</v>
      </c>
      <c r="H18" t="s">
        <v>26</v>
      </c>
      <c r="I18">
        <v>0.63369299999999995</v>
      </c>
      <c r="J18">
        <v>5.4482000000000003E-2</v>
      </c>
      <c r="K18">
        <v>1.2567999999999999E-2</v>
      </c>
      <c r="L18">
        <v>7.5810000000000001E-3</v>
      </c>
      <c r="M18">
        <v>5.6424000000000002E-2</v>
      </c>
      <c r="N18" s="1">
        <v>1.9354999999999998E-18</v>
      </c>
      <c r="O18" s="1">
        <v>1.7391799999999999E-19</v>
      </c>
      <c r="P18" s="1">
        <v>4.01203E-20</v>
      </c>
      <c r="Q18" s="1">
        <v>2.4200900000000001E-20</v>
      </c>
      <c r="R18" s="1">
        <v>1.80119E-19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2.4955726126165914E-19</v>
      </c>
      <c r="C21" s="12">
        <f>SQRT(C17^2+C13^2+C9^2)</f>
        <v>2.1400050628409736E-19</v>
      </c>
      <c r="D21" s="12">
        <f>SQRT(D17^2+D13^2+D9^2)</f>
        <v>1.8011882954566411E-19</v>
      </c>
      <c r="E21" s="12">
        <f>SQRT(E17^2+E13^2+E9^2)</f>
        <v>1.3430660859842304E-19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0.18521531350363232</v>
      </c>
      <c r="C22" s="13">
        <f>C21/C2</f>
        <v>0.17561897852701766</v>
      </c>
      <c r="D22" s="13">
        <f>D21/D2</f>
        <v>9.3060619760095137E-2</v>
      </c>
      <c r="E22" s="16">
        <f>E21/E2</f>
        <v>8.2867972209080501E-2</v>
      </c>
      <c r="H22" t="s">
        <v>24</v>
      </c>
      <c r="I22">
        <v>0.51426300000000003</v>
      </c>
      <c r="J22">
        <v>5.2256999999999998E-2</v>
      </c>
      <c r="K22">
        <v>1.0314E-2</v>
      </c>
      <c r="L22">
        <v>7.8659999999999997E-3</v>
      </c>
      <c r="M22">
        <v>5.3842000000000001E-2</v>
      </c>
      <c r="N22" s="1">
        <v>1.54133E-18</v>
      </c>
      <c r="O22" s="1">
        <v>1.66815E-19</v>
      </c>
      <c r="P22" s="1">
        <v>3.2924999999999998E-20</v>
      </c>
      <c r="Q22" s="1">
        <v>2.5111099999999999E-20</v>
      </c>
      <c r="R22" s="1">
        <v>1.7187700000000001E-19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0.55811599999999995</v>
      </c>
      <c r="J23">
        <v>6.0421000000000002E-2</v>
      </c>
      <c r="K23">
        <v>1.1013999999999999E-2</v>
      </c>
      <c r="L23">
        <v>7.8659999999999997E-3</v>
      </c>
      <c r="M23">
        <v>6.1919000000000002E-2</v>
      </c>
      <c r="N23" s="1">
        <v>1.6813199999999999E-18</v>
      </c>
      <c r="O23" s="1">
        <v>1.92878E-19</v>
      </c>
      <c r="P23" s="1">
        <v>3.5160100000000003E-20</v>
      </c>
      <c r="Q23" s="1">
        <v>2.5111099999999999E-20</v>
      </c>
      <c r="R23" s="1">
        <v>1.9765800000000001E-19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0.53913599999999995</v>
      </c>
      <c r="J24">
        <v>3.9917000000000001E-2</v>
      </c>
      <c r="K24">
        <v>1.072E-2</v>
      </c>
      <c r="L24">
        <v>7.8659999999999997E-3</v>
      </c>
      <c r="M24">
        <v>4.2072999999999999E-2</v>
      </c>
      <c r="N24" s="1">
        <v>1.62073E-18</v>
      </c>
      <c r="O24" s="1">
        <v>1.2742300000000001E-19</v>
      </c>
      <c r="P24" s="1">
        <v>3.4221000000000001E-20</v>
      </c>
      <c r="Q24" s="1">
        <v>2.5111099999999999E-20</v>
      </c>
      <c r="R24" s="1">
        <v>1.3430599999999999E-19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-2.6126165913841709E-25</v>
      </c>
      <c r="C26" s="1">
        <f>C3-C21</f>
        <v>-5.0628409736029489E-25</v>
      </c>
      <c r="D26" s="1">
        <f>D3-D21</f>
        <v>1.7045433588705577E-25</v>
      </c>
      <c r="E26" s="1">
        <f>E3-E21</f>
        <v>-6.0859842305254896E-25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6FEE3-3B95-A74A-B9AB-147435730300}">
  <dimension ref="A1:R30"/>
  <sheetViews>
    <sheetView tabSelected="1" zoomScale="75" workbookViewId="0">
      <selection activeCell="P38" sqref="P38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6.3074600000000002E-19</v>
      </c>
      <c r="C2" s="12">
        <f>N12</f>
        <v>5.5635200000000002E-19</v>
      </c>
      <c r="D2" s="12">
        <f>N18</f>
        <v>8.9208199999999998E-19</v>
      </c>
      <c r="E2" s="12">
        <f>N24</f>
        <v>7.2022399999999996E-19</v>
      </c>
      <c r="F2" s="1">
        <f>SQRT(B2^2+C2^2+D2^2+E2^2)/4</f>
        <v>3.5548391044110563E-19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1.2319699999999999E-19</v>
      </c>
      <c r="C3" s="14">
        <f>R12</f>
        <v>1.06528E-19</v>
      </c>
      <c r="D3" s="14">
        <f>R18</f>
        <v>9.0527899999999996E-20</v>
      </c>
      <c r="E3" s="14">
        <f>R24</f>
        <v>6.9167399999999995E-20</v>
      </c>
      <c r="F3" s="1">
        <f t="shared" ref="F3:F4" si="0">SQRT(B3^2+C3^2+D3^2+E3^2)/4</f>
        <v>4.9689753404355156E-20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0.19531951054782748</v>
      </c>
      <c r="C4" s="13">
        <f t="shared" ref="C4:E4" si="1">C3/C2</f>
        <v>0.1914759001495456</v>
      </c>
      <c r="D4" s="13">
        <f t="shared" si="1"/>
        <v>0.1014793483110297</v>
      </c>
      <c r="E4" s="16">
        <f t="shared" si="1"/>
        <v>9.6035955480517174E-2</v>
      </c>
      <c r="F4" s="1">
        <f t="shared" si="0"/>
        <v>7.6784476953926373E-2</v>
      </c>
      <c r="H4" t="s">
        <v>24</v>
      </c>
      <c r="I4">
        <v>0.31593399999999999</v>
      </c>
      <c r="J4">
        <v>5.2424999999999999E-2</v>
      </c>
      <c r="K4">
        <v>6.0720000000000001E-3</v>
      </c>
      <c r="L4">
        <v>6.6709999999999998E-3</v>
      </c>
      <c r="M4">
        <v>5.3196E-2</v>
      </c>
      <c r="N4" s="1">
        <v>9.4362100000000008E-19</v>
      </c>
      <c r="O4" s="1">
        <v>1.67353E-19</v>
      </c>
      <c r="P4" s="1">
        <v>1.9384299999999999E-20</v>
      </c>
      <c r="Q4" s="1">
        <v>2.1296100000000001E-20</v>
      </c>
      <c r="R4" s="1">
        <v>1.69812E-19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0.111097</v>
      </c>
      <c r="J5">
        <v>5.4481000000000002E-2</v>
      </c>
      <c r="K5">
        <v>2.199E-3</v>
      </c>
      <c r="L5">
        <v>6.6709999999999998E-3</v>
      </c>
      <c r="M5">
        <v>5.4932000000000002E-2</v>
      </c>
      <c r="N5" s="1">
        <v>2.8973699999999998E-19</v>
      </c>
      <c r="O5" s="1">
        <v>1.7391499999999999E-19</v>
      </c>
      <c r="P5" s="1">
        <v>7.0205000000000001E-21</v>
      </c>
      <c r="Q5" s="1">
        <v>2.1296100000000001E-20</v>
      </c>
      <c r="R5" s="1">
        <v>1.7535500000000001E-19</v>
      </c>
    </row>
    <row r="6" spans="1:18" x14ac:dyDescent="0.2">
      <c r="A6" s="23" t="s">
        <v>15</v>
      </c>
      <c r="E6" s="22"/>
      <c r="F6" s="1"/>
      <c r="H6" t="s">
        <v>26</v>
      </c>
      <c r="I6">
        <v>0.217922</v>
      </c>
      <c r="J6">
        <v>3.7777999999999999E-2</v>
      </c>
      <c r="K6">
        <v>4.2110000000000003E-3</v>
      </c>
      <c r="L6">
        <v>6.6709999999999998E-3</v>
      </c>
      <c r="M6">
        <v>3.8593000000000002E-2</v>
      </c>
      <c r="N6" s="1">
        <v>6.3074600000000002E-19</v>
      </c>
      <c r="O6" s="1">
        <v>1.2059499999999999E-19</v>
      </c>
      <c r="P6" s="1">
        <v>1.34433E-20</v>
      </c>
      <c r="Q6" s="1">
        <v>2.1296100000000001E-20</v>
      </c>
      <c r="R6" s="1">
        <v>1.2319699999999999E-19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1.7609904285931791E-2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3.3763353235692337E-2</v>
      </c>
      <c r="C10" s="16">
        <f>C9/C2</f>
        <v>4.3245822788450475E-2</v>
      </c>
      <c r="D10" s="16">
        <f>D9/D2</f>
        <v>2.7128559930589342E-2</v>
      </c>
      <c r="E10" s="16">
        <f>E9/E2</f>
        <v>3.4865680677122673E-2</v>
      </c>
      <c r="F10" s="2">
        <f>SQRT(B12^2+C12^2+D12^2+E12^2)/4</f>
        <v>2.5411929162304854E-3</v>
      </c>
      <c r="H10" t="s">
        <v>24</v>
      </c>
      <c r="I10">
        <v>0.176235</v>
      </c>
      <c r="J10">
        <v>4.4761000000000002E-2</v>
      </c>
      <c r="K10">
        <v>3.6579999999999998E-3</v>
      </c>
      <c r="L10">
        <v>7.5370000000000003E-3</v>
      </c>
      <c r="M10">
        <v>4.5538000000000002E-2</v>
      </c>
      <c r="N10" s="1">
        <v>4.9552999999999997E-19</v>
      </c>
      <c r="O10" s="1">
        <v>1.42886E-19</v>
      </c>
      <c r="P10" s="1">
        <v>1.16757E-20</v>
      </c>
      <c r="Q10" s="1">
        <v>2.4059899999999999E-20</v>
      </c>
      <c r="R10" s="1">
        <v>1.4536800000000001E-19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0.21623800000000001</v>
      </c>
      <c r="J11">
        <v>4.6565000000000002E-2</v>
      </c>
      <c r="K11">
        <v>4.2630000000000003E-3</v>
      </c>
      <c r="L11">
        <v>7.5370000000000003E-3</v>
      </c>
      <c r="M11">
        <v>4.7363000000000002E-2</v>
      </c>
      <c r="N11" s="1">
        <v>6.2322899999999998E-19</v>
      </c>
      <c r="O11" s="1">
        <v>1.4864500000000001E-19</v>
      </c>
      <c r="P11" s="1">
        <v>1.3609199999999999E-20</v>
      </c>
      <c r="Q11" s="1">
        <v>2.4059899999999999E-20</v>
      </c>
      <c r="R11" s="1">
        <v>1.51194E-19</v>
      </c>
    </row>
    <row r="12" spans="1:18" x14ac:dyDescent="0.2">
      <c r="A12" s="15" t="s">
        <v>12</v>
      </c>
      <c r="B12" s="14">
        <f>K6</f>
        <v>4.2110000000000003E-3</v>
      </c>
      <c r="C12" s="12">
        <f>K12</f>
        <v>3.9290000000000002E-3</v>
      </c>
      <c r="D12" s="12">
        <f>K18</f>
        <v>6.411E-3</v>
      </c>
      <c r="E12" s="12">
        <f>K24</f>
        <v>5.3899999999999998E-3</v>
      </c>
      <c r="F12" s="1">
        <f>SQRT(B14^2+C14^2+D14^2+E14^2)/4</f>
        <v>1.1345139187697898E-2</v>
      </c>
      <c r="H12" t="s">
        <v>26</v>
      </c>
      <c r="I12">
        <v>0.19528799999999999</v>
      </c>
      <c r="J12">
        <v>3.2271000000000001E-2</v>
      </c>
      <c r="K12">
        <v>3.9290000000000002E-3</v>
      </c>
      <c r="L12">
        <v>7.5370000000000003E-3</v>
      </c>
      <c r="M12">
        <v>3.3370999999999998E-2</v>
      </c>
      <c r="N12" s="1">
        <v>5.5635200000000002E-19</v>
      </c>
      <c r="O12" s="1">
        <v>1.03015E-19</v>
      </c>
      <c r="P12" s="1">
        <v>1.25413E-20</v>
      </c>
      <c r="Q12" s="1">
        <v>2.4059899999999999E-20</v>
      </c>
      <c r="R12" s="1">
        <v>1.06528E-19</v>
      </c>
    </row>
    <row r="13" spans="1:18" x14ac:dyDescent="0.2">
      <c r="A13" s="15" t="s">
        <v>9</v>
      </c>
      <c r="B13" s="14">
        <f>P6</f>
        <v>1.34433E-20</v>
      </c>
      <c r="C13" s="14">
        <f>P12</f>
        <v>1.25413E-20</v>
      </c>
      <c r="D13" s="14">
        <f>P18</f>
        <v>2.0466199999999999E-20</v>
      </c>
      <c r="E13" s="14">
        <f>P24</f>
        <v>1.7204999999999999E-20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2.1313333734974141E-2</v>
      </c>
      <c r="C14" s="16">
        <f>C13/C2</f>
        <v>2.2542023754745198E-2</v>
      </c>
      <c r="D14" s="16">
        <f>D13/D2</f>
        <v>2.2942061380007667E-2</v>
      </c>
      <c r="E14" s="16">
        <f>E13/E2</f>
        <v>2.3888401386235394E-2</v>
      </c>
      <c r="F14" s="2">
        <f>SQRT(B16^2+C16^2+D16^2+E16^2)/4</f>
        <v>1.4901293477832721E-2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3.7777999999999999E-2</v>
      </c>
      <c r="C16" s="12">
        <f>J12</f>
        <v>3.2271000000000001E-2</v>
      </c>
      <c r="D16" s="12">
        <f>J18</f>
        <v>2.6564000000000001E-2</v>
      </c>
      <c r="E16" s="12">
        <f>J24</f>
        <v>1.9456000000000001E-2</v>
      </c>
      <c r="F16" s="1">
        <f>SQRT(B18^2+C18^2+D18^2+E18^2)/4</f>
        <v>7.3871684619119429E-2</v>
      </c>
      <c r="H16" t="s">
        <v>24</v>
      </c>
      <c r="I16">
        <v>0.300647</v>
      </c>
      <c r="J16">
        <v>3.6697E-2</v>
      </c>
      <c r="K16">
        <v>6.2849999999999998E-3</v>
      </c>
      <c r="L16">
        <v>7.5810000000000001E-3</v>
      </c>
      <c r="M16">
        <v>3.7995000000000001E-2</v>
      </c>
      <c r="N16" s="1">
        <v>8.7234200000000008E-19</v>
      </c>
      <c r="O16" s="1">
        <v>1.1714400000000001E-19</v>
      </c>
      <c r="P16" s="1">
        <v>2.0063000000000001E-20</v>
      </c>
      <c r="Q16" s="1">
        <v>2.4200900000000001E-20</v>
      </c>
      <c r="R16" s="1">
        <v>1.2128900000000001E-19</v>
      </c>
    </row>
    <row r="17" spans="1:18" x14ac:dyDescent="0.2">
      <c r="A17" s="15" t="s">
        <v>32</v>
      </c>
      <c r="B17" s="14">
        <f>O6</f>
        <v>1.2059499999999999E-19</v>
      </c>
      <c r="C17" s="14">
        <f>O12</f>
        <v>1.03015E-19</v>
      </c>
      <c r="D17" s="14">
        <f>O18</f>
        <v>8.47983E-20</v>
      </c>
      <c r="E17" s="14">
        <f>O24</f>
        <v>6.2109099999999995E-20</v>
      </c>
      <c r="F17" s="1">
        <f>SQRT(B19^2+C19^2+D19^2+E19^2)/4</f>
        <v>0</v>
      </c>
      <c r="H17" t="s">
        <v>25</v>
      </c>
      <c r="I17">
        <v>0.313801</v>
      </c>
      <c r="J17">
        <v>3.8501000000000001E-2</v>
      </c>
      <c r="K17">
        <v>6.5550000000000001E-3</v>
      </c>
      <c r="L17">
        <v>7.5810000000000001E-3</v>
      </c>
      <c r="M17">
        <v>3.9784E-2</v>
      </c>
      <c r="N17" s="1">
        <v>9.14332E-19</v>
      </c>
      <c r="O17" s="1">
        <v>1.2290400000000001E-19</v>
      </c>
      <c r="P17" s="1">
        <v>2.09253E-20</v>
      </c>
      <c r="Q17" s="1">
        <v>2.4200900000000001E-20</v>
      </c>
      <c r="R17" s="1">
        <v>1.27E-19</v>
      </c>
    </row>
    <row r="18" spans="1:18" x14ac:dyDescent="0.2">
      <c r="A18" s="10" t="s">
        <v>33</v>
      </c>
      <c r="B18" s="13">
        <f>B17/B2</f>
        <v>0.19119423666578939</v>
      </c>
      <c r="C18" s="13">
        <f>C17/C2</f>
        <v>0.18516155239848153</v>
      </c>
      <c r="D18" s="16">
        <f>D17/D2</f>
        <v>9.5056620355527852E-2</v>
      </c>
      <c r="E18" s="16">
        <f>E17/E2</f>
        <v>8.6235809970231475E-2</v>
      </c>
      <c r="F18" s="2">
        <f>SQRT(B20^2+C20^2+D20^2+E20^2)/4</f>
        <v>0</v>
      </c>
      <c r="H18" t="s">
        <v>26</v>
      </c>
      <c r="I18">
        <v>0.30682999999999999</v>
      </c>
      <c r="J18">
        <v>2.6564000000000001E-2</v>
      </c>
      <c r="K18">
        <v>6.411E-3</v>
      </c>
      <c r="L18">
        <v>7.5810000000000001E-3</v>
      </c>
      <c r="M18">
        <v>2.8358999999999999E-2</v>
      </c>
      <c r="N18" s="1">
        <v>8.9208199999999998E-19</v>
      </c>
      <c r="O18" s="1">
        <v>8.47983E-20</v>
      </c>
      <c r="P18" s="1">
        <v>2.0466199999999999E-20</v>
      </c>
      <c r="Q18" s="1">
        <v>2.4200900000000001E-20</v>
      </c>
      <c r="R18" s="1">
        <v>9.0527899999999996E-20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1.2319659173491772E-19</v>
      </c>
      <c r="C21" s="12">
        <f>SQRT(C17^2+C13^2+C9^2)</f>
        <v>1.0652818039701982E-19</v>
      </c>
      <c r="D21" s="12">
        <f>SQRT(D17^2+D13^2+D9^2)</f>
        <v>9.0527899490378108E-20</v>
      </c>
      <c r="E21" s="12">
        <f>SQRT(E17^2+E13^2+E9^2)</f>
        <v>6.9167330951974715E-20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0.19531886327446821</v>
      </c>
      <c r="C22" s="13">
        <f>C21/C2</f>
        <v>0.19147622439933679</v>
      </c>
      <c r="D22" s="13">
        <f>D21/D2</f>
        <v>0.10147934773975723</v>
      </c>
      <c r="E22" s="16">
        <f>E21/E2</f>
        <v>9.6035859610308347E-2</v>
      </c>
      <c r="H22" t="s">
        <v>24</v>
      </c>
      <c r="I22">
        <v>0.25947799999999999</v>
      </c>
      <c r="J22">
        <v>2.6748999999999998E-2</v>
      </c>
      <c r="K22">
        <v>5.3559999999999997E-3</v>
      </c>
      <c r="L22">
        <v>7.8659999999999997E-3</v>
      </c>
      <c r="M22">
        <v>2.8391E-2</v>
      </c>
      <c r="N22" s="1">
        <v>7.2800199999999998E-19</v>
      </c>
      <c r="O22" s="1">
        <v>8.5387599999999998E-20</v>
      </c>
      <c r="P22" s="1">
        <v>1.7096799999999999E-20</v>
      </c>
      <c r="Q22" s="1">
        <v>2.5111099999999999E-20</v>
      </c>
      <c r="R22" s="1">
        <v>9.0630600000000003E-20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0.25412000000000001</v>
      </c>
      <c r="J23">
        <v>2.8351000000000001E-2</v>
      </c>
      <c r="K23">
        <v>5.4299999999999999E-3</v>
      </c>
      <c r="L23">
        <v>7.8659999999999997E-3</v>
      </c>
      <c r="M23">
        <v>2.9919000000000001E-2</v>
      </c>
      <c r="N23" s="1">
        <v>7.1089600000000003E-19</v>
      </c>
      <c r="O23" s="1">
        <v>9.0502200000000002E-20</v>
      </c>
      <c r="P23" s="1">
        <v>1.7334199999999999E-20</v>
      </c>
      <c r="Q23" s="1">
        <v>2.5111099999999999E-20</v>
      </c>
      <c r="R23" s="1">
        <v>9.5507500000000002E-20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0.25704199999999999</v>
      </c>
      <c r="J24">
        <v>1.9456000000000001E-2</v>
      </c>
      <c r="K24">
        <v>5.3899999999999998E-3</v>
      </c>
      <c r="L24">
        <v>7.8659999999999997E-3</v>
      </c>
      <c r="M24">
        <v>2.1666999999999999E-2</v>
      </c>
      <c r="N24" s="1">
        <v>7.2022399999999996E-19</v>
      </c>
      <c r="O24" s="1">
        <v>6.2109099999999995E-20</v>
      </c>
      <c r="P24" s="1">
        <v>1.7204999999999999E-20</v>
      </c>
      <c r="Q24" s="1">
        <v>2.5111099999999999E-20</v>
      </c>
      <c r="R24" s="1">
        <v>6.9167399999999995E-20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4.0826508227096606E-25</v>
      </c>
      <c r="C26" s="1">
        <f>C3-C21</f>
        <v>-1.803970198223244E-25</v>
      </c>
      <c r="D26" s="1">
        <f>D3-D21</f>
        <v>5.0962188740238629E-28</v>
      </c>
      <c r="E26" s="1">
        <f>E3-E21</f>
        <v>6.9048025280119916E-26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F644D-04DC-0A40-95E2-DB07317B8B26}">
  <dimension ref="A1:R30"/>
  <sheetViews>
    <sheetView topLeftCell="G1" zoomScale="75" workbookViewId="0">
      <selection activeCell="R24" sqref="H21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1.06367E-19</v>
      </c>
      <c r="C2" s="12">
        <f>N12</f>
        <v>1.02837E-19</v>
      </c>
      <c r="D2" s="12">
        <f>N18</f>
        <v>1.86684E-19</v>
      </c>
      <c r="E2" s="12">
        <f>N24</f>
        <v>1.3369E-19</v>
      </c>
      <c r="F2" s="1">
        <f>SQRT(B2^2+C2^2+D2^2+E2^2)/4</f>
        <v>6.8288596785078247E-20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3.9167999999999999E-20</v>
      </c>
      <c r="C3" s="14">
        <f>R12</f>
        <v>3.6993500000000002E-20</v>
      </c>
      <c r="D3" s="14">
        <f>R18</f>
        <v>3.3525699999999998E-20</v>
      </c>
      <c r="E3" s="14">
        <f>R24</f>
        <v>3.0328099999999998E-20</v>
      </c>
      <c r="F3" s="1">
        <f t="shared" ref="F3:F4" si="0">SQRT(B3^2+C3^2+D3^2+E3^2)/4</f>
        <v>1.7582692975533496E-20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0.36823450882322523</v>
      </c>
      <c r="C4" s="13">
        <f t="shared" ref="C4:E4" si="1">C3/C2</f>
        <v>0.35972947479992612</v>
      </c>
      <c r="D4" s="13">
        <f t="shared" si="1"/>
        <v>0.17958528850892416</v>
      </c>
      <c r="E4" s="16">
        <f t="shared" si="1"/>
        <v>0.22685391577530103</v>
      </c>
      <c r="F4" s="1">
        <f t="shared" si="0"/>
        <v>0.14763034991989568</v>
      </c>
      <c r="H4" t="s">
        <v>24</v>
      </c>
      <c r="I4">
        <v>7.3799000000000003E-2</v>
      </c>
      <c r="J4">
        <v>1.3794000000000001E-2</v>
      </c>
      <c r="K4">
        <v>0</v>
      </c>
      <c r="L4">
        <v>6.6709999999999998E-3</v>
      </c>
      <c r="M4">
        <v>1.5323E-2</v>
      </c>
      <c r="N4" s="1">
        <v>1.7067399999999999E-19</v>
      </c>
      <c r="O4" s="1">
        <v>4.4033500000000002E-20</v>
      </c>
      <c r="P4">
        <v>0</v>
      </c>
      <c r="Q4" s="1">
        <v>2.1296100000000001E-20</v>
      </c>
      <c r="R4" s="1">
        <v>4.8912899999999997E-20</v>
      </c>
    </row>
    <row r="5" spans="1:18" x14ac:dyDescent="0.2">
      <c r="A5" s="21"/>
      <c r="B5" s="6"/>
      <c r="C5" s="6"/>
      <c r="D5" s="6"/>
      <c r="E5" s="6"/>
      <c r="H5" t="s">
        <v>25</v>
      </c>
      <c r="I5">
        <v>3.0383E-2</v>
      </c>
      <c r="J5">
        <v>1.5129E-2</v>
      </c>
      <c r="K5">
        <v>0</v>
      </c>
      <c r="L5">
        <v>6.6709999999999998E-3</v>
      </c>
      <c r="M5">
        <v>1.6534E-2</v>
      </c>
      <c r="N5" s="1">
        <v>3.2079299999999997E-20</v>
      </c>
      <c r="O5" s="1">
        <v>4.8294000000000001E-20</v>
      </c>
      <c r="P5">
        <v>0</v>
      </c>
      <c r="Q5" s="1">
        <v>2.1296100000000001E-20</v>
      </c>
      <c r="R5" s="1">
        <v>5.2781000000000002E-20</v>
      </c>
    </row>
    <row r="6" spans="1:18" x14ac:dyDescent="0.2">
      <c r="A6" s="23" t="s">
        <v>15</v>
      </c>
      <c r="E6" s="22"/>
      <c r="F6" s="1"/>
      <c r="H6" t="s">
        <v>26</v>
      </c>
      <c r="I6">
        <v>5.3654E-2</v>
      </c>
      <c r="J6">
        <v>1.0298E-2</v>
      </c>
      <c r="K6">
        <v>0</v>
      </c>
      <c r="L6">
        <v>6.6709999999999998E-3</v>
      </c>
      <c r="M6">
        <v>1.227E-2</v>
      </c>
      <c r="N6" s="1">
        <v>1.06367E-19</v>
      </c>
      <c r="O6" s="1">
        <v>3.2872599999999999E-20</v>
      </c>
      <c r="P6">
        <v>0</v>
      </c>
      <c r="Q6" s="1">
        <v>2.1296100000000001E-20</v>
      </c>
      <c r="R6" s="1">
        <v>3.9167999999999999E-20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9.5821842903318091E-2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0.20021341205449059</v>
      </c>
      <c r="C10" s="16">
        <f>C9/C2</f>
        <v>0.23396151190719292</v>
      </c>
      <c r="D10" s="16">
        <f>D9/D2</f>
        <v>0.12963564097619507</v>
      </c>
      <c r="E10" s="16">
        <f>E9/E2</f>
        <v>0.18783080260303686</v>
      </c>
      <c r="F10" s="2">
        <f>SQRT(B12^2+C12^2+D12^2+E12^2)/4</f>
        <v>0</v>
      </c>
      <c r="H10" t="s">
        <v>24</v>
      </c>
      <c r="I10">
        <v>4.6982999999999997E-2</v>
      </c>
      <c r="J10">
        <v>1.1789000000000001E-2</v>
      </c>
      <c r="K10">
        <v>0</v>
      </c>
      <c r="L10">
        <v>7.5370000000000003E-3</v>
      </c>
      <c r="M10">
        <v>1.3991999999999999E-2</v>
      </c>
      <c r="N10" s="1">
        <v>8.2928900000000002E-20</v>
      </c>
      <c r="O10" s="1">
        <v>3.7632400000000003E-20</v>
      </c>
      <c r="P10">
        <v>0</v>
      </c>
      <c r="Q10" s="1">
        <v>2.4059899999999999E-20</v>
      </c>
      <c r="R10" s="1">
        <v>4.4666299999999997E-20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5.9465999999999998E-2</v>
      </c>
      <c r="J11">
        <v>1.2933999999999999E-2</v>
      </c>
      <c r="K11">
        <v>0</v>
      </c>
      <c r="L11">
        <v>7.5370000000000003E-3</v>
      </c>
      <c r="M11">
        <v>1.4970000000000001E-2</v>
      </c>
      <c r="N11" s="1">
        <v>1.2278E-19</v>
      </c>
      <c r="O11" s="1">
        <v>4.1289099999999999E-20</v>
      </c>
      <c r="P11">
        <v>0</v>
      </c>
      <c r="Q11" s="1">
        <v>2.4059899999999999E-20</v>
      </c>
      <c r="R11" s="1">
        <v>4.7787799999999998E-20</v>
      </c>
    </row>
    <row r="12" spans="1:18" x14ac:dyDescent="0.2">
      <c r="A12" s="15" t="s">
        <v>12</v>
      </c>
      <c r="B12" s="14">
        <f>K6</f>
        <v>0</v>
      </c>
      <c r="C12" s="12">
        <f>K12</f>
        <v>0</v>
      </c>
      <c r="D12" s="12">
        <f>K18</f>
        <v>0</v>
      </c>
      <c r="E12" s="12">
        <f>K24</f>
        <v>0</v>
      </c>
      <c r="F12" s="1">
        <f>SQRT(B14^2+C14^2+D14^2+E14^2)/4</f>
        <v>0</v>
      </c>
      <c r="H12" t="s">
        <v>26</v>
      </c>
      <c r="I12">
        <v>5.3219000000000002E-2</v>
      </c>
      <c r="J12">
        <v>8.8030000000000001E-3</v>
      </c>
      <c r="K12">
        <v>0</v>
      </c>
      <c r="L12">
        <v>7.5370000000000003E-3</v>
      </c>
      <c r="M12">
        <v>1.1589E-2</v>
      </c>
      <c r="N12" s="1">
        <v>1.02837E-19</v>
      </c>
      <c r="O12" s="1">
        <v>2.8100500000000003E-20</v>
      </c>
      <c r="P12">
        <v>0</v>
      </c>
      <c r="Q12" s="1">
        <v>2.4059899999999999E-20</v>
      </c>
      <c r="R12" s="1">
        <v>3.6993500000000002E-20</v>
      </c>
    </row>
    <row r="13" spans="1:18" x14ac:dyDescent="0.2">
      <c r="A13" s="15" t="s">
        <v>9</v>
      </c>
      <c r="B13" s="14">
        <f>P6</f>
        <v>0</v>
      </c>
      <c r="C13" s="14">
        <f>P12</f>
        <v>0</v>
      </c>
      <c r="D13" s="14">
        <f>P18</f>
        <v>0</v>
      </c>
      <c r="E13" s="14">
        <f>P24</f>
        <v>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0</v>
      </c>
      <c r="C14" s="16">
        <f>C13/C2</f>
        <v>0</v>
      </c>
      <c r="D14" s="16">
        <f>D13/D2</f>
        <v>0</v>
      </c>
      <c r="E14" s="16">
        <f>E13/E2</f>
        <v>0</v>
      </c>
      <c r="F14" s="2">
        <f>SQRT(B16^2+C16^2+D16^2+E16^2)/4</f>
        <v>4.0678082320212685E-3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1.0298E-2</v>
      </c>
      <c r="C16" s="12">
        <f>J12</f>
        <v>8.8030000000000001E-3</v>
      </c>
      <c r="D16" s="12">
        <f>J18</f>
        <v>7.2680000000000002E-3</v>
      </c>
      <c r="E16" s="12">
        <f>J24</f>
        <v>5.3280000000000003E-3</v>
      </c>
      <c r="F16" s="1">
        <f>SQRT(B18^2+C18^2+D18^2+E18^2)/4</f>
        <v>0.11230706209112475</v>
      </c>
      <c r="H16" t="s">
        <v>24</v>
      </c>
      <c r="I16">
        <v>8.3943000000000004E-2</v>
      </c>
      <c r="J16">
        <v>9.6919999999999992E-3</v>
      </c>
      <c r="K16">
        <v>0</v>
      </c>
      <c r="L16">
        <v>7.5810000000000001E-3</v>
      </c>
      <c r="M16">
        <v>1.2305E-2</v>
      </c>
      <c r="N16" s="1">
        <v>1.80575E-19</v>
      </c>
      <c r="O16" s="1">
        <v>3.0939999999999999E-20</v>
      </c>
      <c r="P16">
        <v>0</v>
      </c>
      <c r="Q16" s="1">
        <v>2.4200900000000001E-20</v>
      </c>
      <c r="R16" s="1">
        <v>3.9280600000000001E-20</v>
      </c>
    </row>
    <row r="17" spans="1:18" x14ac:dyDescent="0.2">
      <c r="A17" s="15" t="s">
        <v>32</v>
      </c>
      <c r="B17" s="14">
        <f>O6</f>
        <v>3.2872599999999999E-20</v>
      </c>
      <c r="C17" s="14">
        <f>O12</f>
        <v>2.8100500000000003E-20</v>
      </c>
      <c r="D17" s="14">
        <f>O18</f>
        <v>2.32011E-20</v>
      </c>
      <c r="E17" s="14">
        <f>O24</f>
        <v>1.7006600000000001E-20</v>
      </c>
      <c r="F17" s="1">
        <f>SQRT(B19^2+C19^2+D19^2+E19^2)/4</f>
        <v>0</v>
      </c>
      <c r="H17" t="s">
        <v>25</v>
      </c>
      <c r="I17">
        <v>8.5539000000000004E-2</v>
      </c>
      <c r="J17">
        <v>1.0728E-2</v>
      </c>
      <c r="K17">
        <v>0</v>
      </c>
      <c r="L17">
        <v>7.5810000000000001E-3</v>
      </c>
      <c r="M17">
        <v>1.3136E-2</v>
      </c>
      <c r="N17" s="1">
        <v>1.8567000000000001E-19</v>
      </c>
      <c r="O17" s="1">
        <v>3.4246199999999999E-20</v>
      </c>
      <c r="P17">
        <v>0</v>
      </c>
      <c r="Q17" s="1">
        <v>2.4200900000000001E-20</v>
      </c>
      <c r="R17" s="1">
        <v>4.1934300000000002E-20</v>
      </c>
    </row>
    <row r="18" spans="1:18" x14ac:dyDescent="0.2">
      <c r="A18" s="10" t="s">
        <v>33</v>
      </c>
      <c r="B18" s="13">
        <f>B17/B2</f>
        <v>0.30904885913864261</v>
      </c>
      <c r="C18" s="13">
        <f>C17/C2</f>
        <v>0.27325281756566222</v>
      </c>
      <c r="D18" s="16">
        <f>D17/D2</f>
        <v>0.12428006685093528</v>
      </c>
      <c r="E18" s="16">
        <f>E17/E2</f>
        <v>0.12720921534894158</v>
      </c>
      <c r="F18" s="2">
        <f>SQRT(B20^2+C20^2+D20^2+E20^2)/4</f>
        <v>0</v>
      </c>
      <c r="H18" t="s">
        <v>26</v>
      </c>
      <c r="I18">
        <v>8.5857000000000003E-2</v>
      </c>
      <c r="J18">
        <v>7.2680000000000002E-3</v>
      </c>
      <c r="K18">
        <v>0</v>
      </c>
      <c r="L18">
        <v>7.5810000000000001E-3</v>
      </c>
      <c r="M18">
        <v>1.0501999999999999E-2</v>
      </c>
      <c r="N18" s="1">
        <v>1.86684E-19</v>
      </c>
      <c r="O18" s="1">
        <v>2.32011E-20</v>
      </c>
      <c r="P18">
        <v>0</v>
      </c>
      <c r="Q18" s="1">
        <v>2.4200900000000001E-20</v>
      </c>
      <c r="R18" s="1">
        <v>3.3525699999999998E-20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3.9167993387075628E-20</v>
      </c>
      <c r="C21" s="12">
        <f>SQRT(C17^2+C13^2+C9^2)</f>
        <v>3.6993470886901112E-20</v>
      </c>
      <c r="D21" s="12">
        <f>SQRT(D17^2+D13^2+D9^2)</f>
        <v>3.3525730447225155E-20</v>
      </c>
      <c r="E21" s="12">
        <f>SQRT(E17^2+E13^2+E9^2)</f>
        <v>3.0328069288532035E-20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0.36823444665239813</v>
      </c>
      <c r="C22" s="13">
        <f>C21/C2</f>
        <v>0.35972919170046885</v>
      </c>
      <c r="D22" s="13">
        <f>D21/D2</f>
        <v>0.1795854516039144</v>
      </c>
      <c r="E22" s="16">
        <f>E21/E2</f>
        <v>0.22685368605379636</v>
      </c>
      <c r="H22" t="s">
        <v>24</v>
      </c>
      <c r="I22">
        <v>7.0863999999999996E-2</v>
      </c>
      <c r="J22">
        <v>7.0650000000000001E-3</v>
      </c>
      <c r="K22">
        <v>0</v>
      </c>
      <c r="L22">
        <v>7.8659999999999997E-3</v>
      </c>
      <c r="M22">
        <v>1.0573000000000001E-2</v>
      </c>
      <c r="N22" s="1">
        <v>1.25902E-19</v>
      </c>
      <c r="O22" s="1">
        <v>2.2551599999999999E-20</v>
      </c>
      <c r="P22">
        <v>0</v>
      </c>
      <c r="Q22" s="1">
        <v>2.5111099999999999E-20</v>
      </c>
      <c r="R22" s="1">
        <v>3.3751200000000003E-20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7.4792999999999998E-2</v>
      </c>
      <c r="J23">
        <v>7.9159999999999994E-3</v>
      </c>
      <c r="K23">
        <v>0</v>
      </c>
      <c r="L23">
        <v>7.8659999999999997E-3</v>
      </c>
      <c r="M23">
        <v>1.116E-2</v>
      </c>
      <c r="N23" s="1">
        <v>1.3844399999999999E-19</v>
      </c>
      <c r="O23" s="1">
        <v>2.5269099999999999E-20</v>
      </c>
      <c r="P23">
        <v>0</v>
      </c>
      <c r="Q23" s="1">
        <v>2.5111099999999999E-20</v>
      </c>
      <c r="R23" s="1">
        <v>3.5624299999999998E-20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7.3303999999999994E-2</v>
      </c>
      <c r="J24">
        <v>5.3280000000000003E-3</v>
      </c>
      <c r="K24">
        <v>0</v>
      </c>
      <c r="L24">
        <v>7.8659999999999997E-3</v>
      </c>
      <c r="M24">
        <v>9.5010000000000008E-3</v>
      </c>
      <c r="N24" s="1">
        <v>1.3369E-19</v>
      </c>
      <c r="O24" s="1">
        <v>1.7006600000000001E-20</v>
      </c>
      <c r="P24">
        <v>0</v>
      </c>
      <c r="Q24" s="1">
        <v>2.5111099999999999E-20</v>
      </c>
      <c r="R24" s="1">
        <v>3.0328099999999998E-20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6.6129243710439688E-27</v>
      </c>
      <c r="C26" s="1">
        <f>C3-C21</f>
        <v>2.9113098889516442E-26</v>
      </c>
      <c r="D26" s="1">
        <f>D3-D21</f>
        <v>-3.0447225156510106E-26</v>
      </c>
      <c r="E26" s="1">
        <f>E3-E21</f>
        <v>3.0711467962946478E-26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09356-A4A4-3041-AE57-635F1ED1227C}">
  <dimension ref="A1:R30"/>
  <sheetViews>
    <sheetView topLeftCell="F1" zoomScale="75" workbookViewId="0">
      <selection activeCell="R24" sqref="H21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7" t="s">
        <v>17</v>
      </c>
      <c r="B1" s="8" t="s">
        <v>0</v>
      </c>
      <c r="C1" s="8" t="s">
        <v>1</v>
      </c>
      <c r="D1" s="8" t="s">
        <v>2</v>
      </c>
      <c r="E1" s="8" t="s">
        <v>3</v>
      </c>
      <c r="F1" s="1"/>
      <c r="H1" s="25" t="s">
        <v>34</v>
      </c>
    </row>
    <row r="2" spans="1:18" x14ac:dyDescent="0.2">
      <c r="A2" s="11" t="s">
        <v>5</v>
      </c>
      <c r="B2" s="12">
        <f>N6</f>
        <v>1.3473899999999999E-18</v>
      </c>
      <c r="C2" s="12">
        <f>N12</f>
        <v>1.21855E-18</v>
      </c>
      <c r="D2" s="12">
        <f>N18</f>
        <v>1.9354999999999998E-18</v>
      </c>
      <c r="E2" s="12">
        <f>N24</f>
        <v>1.62073E-18</v>
      </c>
      <c r="F2" s="1">
        <f>SQRT(B2^2+C2^2+D2^2+E2^2)/4</f>
        <v>7.7754621637157361E-19</v>
      </c>
      <c r="I2" t="s">
        <v>28</v>
      </c>
      <c r="J2" t="s">
        <v>29</v>
      </c>
      <c r="K2" t="s">
        <v>30</v>
      </c>
      <c r="L2" t="s">
        <v>29</v>
      </c>
    </row>
    <row r="3" spans="1:18" x14ac:dyDescent="0.2">
      <c r="A3" s="15" t="s">
        <v>4</v>
      </c>
      <c r="B3" s="14">
        <f>R6</f>
        <v>2.49557E-19</v>
      </c>
      <c r="C3" s="14">
        <f>R12</f>
        <v>2.14E-19</v>
      </c>
      <c r="D3" s="14">
        <f>R18</f>
        <v>1.80119E-19</v>
      </c>
      <c r="E3" s="14">
        <f>R24</f>
        <v>1.3430599999999999E-19</v>
      </c>
      <c r="F3" s="1">
        <f t="shared" ref="F3:F4" si="0">SQRT(B3^2+C3^2+D3^2+E3^2)/4</f>
        <v>9.954761801708265E-20</v>
      </c>
      <c r="H3" t="s">
        <v>18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  <c r="N3" t="s">
        <v>19</v>
      </c>
      <c r="O3" t="s">
        <v>20</v>
      </c>
      <c r="P3" t="s">
        <v>21</v>
      </c>
      <c r="Q3" t="s">
        <v>22</v>
      </c>
      <c r="R3" t="s">
        <v>23</v>
      </c>
    </row>
    <row r="4" spans="1:18" x14ac:dyDescent="0.2">
      <c r="A4" s="10" t="s">
        <v>8</v>
      </c>
      <c r="B4" s="13">
        <f>B3/B2</f>
        <v>0.18521511960160014</v>
      </c>
      <c r="C4" s="13">
        <f t="shared" ref="C4:E4" si="1">C3/C2</f>
        <v>0.17561856304624349</v>
      </c>
      <c r="D4" s="13">
        <f t="shared" si="1"/>
        <v>9.306070782743478E-2</v>
      </c>
      <c r="E4" s="16">
        <f t="shared" si="1"/>
        <v>8.2867596700252344E-2</v>
      </c>
      <c r="F4" s="1">
        <f t="shared" si="0"/>
        <v>7.1007857901292035E-2</v>
      </c>
      <c r="H4" t="s">
        <v>24</v>
      </c>
      <c r="I4">
        <v>0.611371</v>
      </c>
      <c r="J4">
        <v>0.102344</v>
      </c>
      <c r="K4">
        <v>1.1754000000000001E-2</v>
      </c>
      <c r="L4">
        <v>6.6709999999999998E-3</v>
      </c>
      <c r="M4">
        <v>0.10323300000000001</v>
      </c>
      <c r="N4" s="1">
        <v>1.88672E-18</v>
      </c>
      <c r="O4" s="1">
        <v>3.2670499999999998E-19</v>
      </c>
      <c r="P4" s="1">
        <v>3.7519999999999997E-20</v>
      </c>
      <c r="Q4" s="1">
        <v>2.1296100000000001E-20</v>
      </c>
      <c r="R4" s="1">
        <v>3.2954200000000002E-19</v>
      </c>
    </row>
    <row r="5" spans="1:18" x14ac:dyDescent="0.2">
      <c r="A5" s="21"/>
      <c r="B5" s="6"/>
      <c r="C5" s="6"/>
      <c r="D5" s="6"/>
      <c r="E5" s="6"/>
      <c r="H5" t="s">
        <v>25</v>
      </c>
      <c r="I5">
        <v>0.24547099999999999</v>
      </c>
      <c r="J5">
        <v>0.115968</v>
      </c>
      <c r="K5">
        <v>4.7109999999999999E-3</v>
      </c>
      <c r="L5">
        <v>6.6709999999999998E-3</v>
      </c>
      <c r="M5">
        <v>0.116255</v>
      </c>
      <c r="N5" s="1">
        <v>7.1868699999999997E-19</v>
      </c>
      <c r="O5" s="1">
        <v>3.7019699999999998E-19</v>
      </c>
      <c r="P5" s="1">
        <v>1.5037600000000001E-20</v>
      </c>
      <c r="Q5" s="1">
        <v>2.1296100000000001E-20</v>
      </c>
      <c r="R5" s="1">
        <v>3.71113E-19</v>
      </c>
    </row>
    <row r="6" spans="1:18" x14ac:dyDescent="0.2">
      <c r="A6" s="23" t="s">
        <v>15</v>
      </c>
      <c r="E6" s="22"/>
      <c r="F6" s="1"/>
      <c r="H6" t="s">
        <v>26</v>
      </c>
      <c r="I6">
        <v>0.44241999999999998</v>
      </c>
      <c r="J6">
        <v>7.7425999999999995E-2</v>
      </c>
      <c r="K6">
        <v>8.5000000000000006E-3</v>
      </c>
      <c r="L6">
        <v>6.6709999999999998E-3</v>
      </c>
      <c r="M6">
        <v>7.8176999999999996E-2</v>
      </c>
      <c r="N6" s="1">
        <v>1.3473899999999999E-18</v>
      </c>
      <c r="O6" s="1">
        <v>2.4716199999999999E-19</v>
      </c>
      <c r="P6" s="1">
        <v>2.7133899999999999E-20</v>
      </c>
      <c r="Q6" s="1">
        <v>2.1296100000000001E-20</v>
      </c>
      <c r="R6" s="1">
        <v>2.49557E-19</v>
      </c>
    </row>
    <row r="8" spans="1:18" x14ac:dyDescent="0.2">
      <c r="A8" s="11" t="s">
        <v>11</v>
      </c>
      <c r="B8" s="12">
        <f>L4</f>
        <v>6.6709999999999998E-3</v>
      </c>
      <c r="C8" s="12">
        <f>L12</f>
        <v>7.5370000000000003E-3</v>
      </c>
      <c r="D8" s="12">
        <f>L18</f>
        <v>7.5810000000000001E-3</v>
      </c>
      <c r="E8" s="12">
        <f>L24</f>
        <v>7.8659999999999997E-3</v>
      </c>
      <c r="F8" s="1">
        <f>SQRT(B10^2+C10^2+D10^2+E10^2)/4</f>
        <v>8.0469799886015974E-3</v>
      </c>
      <c r="I8" t="s">
        <v>28</v>
      </c>
      <c r="J8" t="s">
        <v>29</v>
      </c>
      <c r="K8" t="s">
        <v>30</v>
      </c>
      <c r="L8" t="s">
        <v>29</v>
      </c>
    </row>
    <row r="9" spans="1:18" x14ac:dyDescent="0.2">
      <c r="A9" s="15" t="s">
        <v>6</v>
      </c>
      <c r="B9" s="14">
        <f>Q6</f>
        <v>2.1296100000000001E-20</v>
      </c>
      <c r="C9" s="14">
        <f>Q12</f>
        <v>2.4059899999999999E-20</v>
      </c>
      <c r="D9" s="14">
        <f>Q18</f>
        <v>2.4200900000000001E-20</v>
      </c>
      <c r="E9" s="14">
        <f>Q24</f>
        <v>2.5111099999999999E-20</v>
      </c>
      <c r="F9" s="1">
        <f>SQRT(B11^2+C11^2+D11^2+E11^2)/4</f>
        <v>0</v>
      </c>
      <c r="H9" t="s">
        <v>18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N9" t="s">
        <v>19</v>
      </c>
      <c r="O9" t="s">
        <v>20</v>
      </c>
      <c r="P9" t="s">
        <v>21</v>
      </c>
      <c r="Q9" t="s">
        <v>22</v>
      </c>
      <c r="R9" t="s">
        <v>23</v>
      </c>
    </row>
    <row r="10" spans="1:18" x14ac:dyDescent="0.2">
      <c r="A10" s="10" t="s">
        <v>7</v>
      </c>
      <c r="B10" s="16">
        <f>B9/B2</f>
        <v>1.5805446084652553E-2</v>
      </c>
      <c r="C10" s="16">
        <f>C9/C2</f>
        <v>1.9744696565590251E-2</v>
      </c>
      <c r="D10" s="16">
        <f>D9/D2</f>
        <v>1.2503694135882202E-2</v>
      </c>
      <c r="E10" s="16">
        <f>E9/E2</f>
        <v>1.5493697284556959E-2</v>
      </c>
      <c r="F10" s="2">
        <f>SQRT(B12^2+C12^2+D12^2+E12^2)/4</f>
        <v>5.0437365117539596E-3</v>
      </c>
      <c r="H10" t="s">
        <v>24</v>
      </c>
      <c r="I10">
        <v>0.34085799999999999</v>
      </c>
      <c r="J10">
        <v>8.7390999999999996E-2</v>
      </c>
      <c r="K10">
        <v>6.842E-3</v>
      </c>
      <c r="L10">
        <v>7.5370000000000003E-3</v>
      </c>
      <c r="M10">
        <v>8.7982000000000005E-2</v>
      </c>
      <c r="N10" s="1">
        <v>1.0210399999999999E-18</v>
      </c>
      <c r="O10" s="1">
        <v>2.7897100000000002E-19</v>
      </c>
      <c r="P10" s="1">
        <v>2.1840599999999999E-20</v>
      </c>
      <c r="Q10" s="1">
        <v>2.4059899999999999E-20</v>
      </c>
      <c r="R10" s="1">
        <v>2.8085699999999998E-19</v>
      </c>
    </row>
    <row r="11" spans="1:18" x14ac:dyDescent="0.2">
      <c r="A11" s="20"/>
      <c r="B11" s="24"/>
      <c r="C11" s="18"/>
      <c r="D11" s="18"/>
      <c r="E11" s="18"/>
      <c r="H11" t="s">
        <v>25</v>
      </c>
      <c r="I11">
        <v>0.47459499999999999</v>
      </c>
      <c r="J11">
        <v>9.9124000000000004E-2</v>
      </c>
      <c r="K11">
        <v>9.1170000000000001E-3</v>
      </c>
      <c r="L11">
        <v>7.5370000000000003E-3</v>
      </c>
      <c r="M11">
        <v>9.9828E-2</v>
      </c>
      <c r="N11" s="1">
        <v>1.44796E-18</v>
      </c>
      <c r="O11" s="1">
        <v>3.1642700000000002E-19</v>
      </c>
      <c r="P11" s="1">
        <v>2.9103199999999997E-20</v>
      </c>
      <c r="Q11" s="1">
        <v>2.4059899999999999E-20</v>
      </c>
      <c r="R11" s="1">
        <v>3.1867199999999998E-19</v>
      </c>
    </row>
    <row r="12" spans="1:18" x14ac:dyDescent="0.2">
      <c r="A12" s="15" t="s">
        <v>12</v>
      </c>
      <c r="B12" s="14">
        <f>K6</f>
        <v>8.5000000000000006E-3</v>
      </c>
      <c r="C12" s="12">
        <f>K12</f>
        <v>7.868E-3</v>
      </c>
      <c r="D12" s="12">
        <f>K18</f>
        <v>1.2567999999999999E-2</v>
      </c>
      <c r="E12" s="12">
        <f>K24</f>
        <v>1.072E-2</v>
      </c>
      <c r="F12" s="1">
        <f>SQRT(B14^2+C14^2+D14^2+E14^2)/4</f>
        <v>1.0325742465858058E-2</v>
      </c>
      <c r="H12" t="s">
        <v>26</v>
      </c>
      <c r="I12">
        <v>0.40272999999999998</v>
      </c>
      <c r="J12">
        <v>6.6146999999999997E-2</v>
      </c>
      <c r="K12">
        <v>7.868E-3</v>
      </c>
      <c r="L12">
        <v>7.5370000000000003E-3</v>
      </c>
      <c r="M12">
        <v>6.7038E-2</v>
      </c>
      <c r="N12" s="1">
        <v>1.21855E-18</v>
      </c>
      <c r="O12" s="1">
        <v>2.1115499999999999E-19</v>
      </c>
      <c r="P12" s="1">
        <v>2.51178E-20</v>
      </c>
      <c r="Q12" s="1">
        <v>2.4059899999999999E-20</v>
      </c>
      <c r="R12" s="1">
        <v>2.14E-19</v>
      </c>
    </row>
    <row r="13" spans="1:18" x14ac:dyDescent="0.2">
      <c r="A13" s="15" t="s">
        <v>9</v>
      </c>
      <c r="B13" s="14">
        <f>P6</f>
        <v>2.7133899999999999E-20</v>
      </c>
      <c r="C13" s="14">
        <f>P12</f>
        <v>2.51178E-20</v>
      </c>
      <c r="D13" s="14">
        <f>P18</f>
        <v>4.01203E-20</v>
      </c>
      <c r="E13" s="14">
        <f>P24</f>
        <v>3.4221000000000001E-20</v>
      </c>
      <c r="F13" s="1">
        <f>SQRT(B15^2+C15^2+D15^2+E15^2)/4</f>
        <v>0</v>
      </c>
    </row>
    <row r="14" spans="1:18" x14ac:dyDescent="0.2">
      <c r="A14" s="10" t="s">
        <v>10</v>
      </c>
      <c r="B14" s="16">
        <f>B13/B2</f>
        <v>2.0138118881689787E-2</v>
      </c>
      <c r="C14" s="16">
        <f>C13/C2</f>
        <v>2.0612859546181937E-2</v>
      </c>
      <c r="D14" s="16">
        <f>D13/D2</f>
        <v>2.0728648927925603E-2</v>
      </c>
      <c r="E14" s="16">
        <f>E13/E2</f>
        <v>2.1114559488625496E-2</v>
      </c>
      <c r="F14" s="2">
        <f>SQRT(B16^2+C16^2+D16^2+E16^2)/4</f>
        <v>3.054900397107899E-2</v>
      </c>
      <c r="I14" t="s">
        <v>28</v>
      </c>
      <c r="J14" t="s">
        <v>29</v>
      </c>
      <c r="K14" t="s">
        <v>30</v>
      </c>
      <c r="L14" t="s">
        <v>29</v>
      </c>
    </row>
    <row r="15" spans="1:18" x14ac:dyDescent="0.2">
      <c r="A15" s="20"/>
      <c r="B15" s="19"/>
      <c r="C15" s="17"/>
      <c r="D15" s="17"/>
      <c r="E15" s="17"/>
      <c r="H15" t="s">
        <v>18</v>
      </c>
      <c r="I15" t="s">
        <v>19</v>
      </c>
      <c r="J15" t="s">
        <v>20</v>
      </c>
      <c r="K15" t="s">
        <v>21</v>
      </c>
      <c r="L15" t="s">
        <v>22</v>
      </c>
      <c r="M15" t="s">
        <v>23</v>
      </c>
      <c r="N15" t="s">
        <v>19</v>
      </c>
      <c r="O15" t="s">
        <v>20</v>
      </c>
      <c r="P15" t="s">
        <v>21</v>
      </c>
      <c r="Q15" t="s">
        <v>22</v>
      </c>
      <c r="R15" t="s">
        <v>23</v>
      </c>
    </row>
    <row r="16" spans="1:18" x14ac:dyDescent="0.2">
      <c r="A16" s="15" t="s">
        <v>31</v>
      </c>
      <c r="B16" s="12">
        <f>J6</f>
        <v>7.7425999999999995E-2</v>
      </c>
      <c r="C16" s="12">
        <f>J12</f>
        <v>6.6146999999999997E-2</v>
      </c>
      <c r="D16" s="12">
        <f>J18</f>
        <v>5.4482000000000003E-2</v>
      </c>
      <c r="E16" s="12">
        <f>J24</f>
        <v>3.9917000000000001E-2</v>
      </c>
      <c r="F16" s="1">
        <f>SQRT(B18^2+C18^2+D18^2+E18^2)/4</f>
        <v>6.9790812536809327E-2</v>
      </c>
      <c r="H16" t="s">
        <v>24</v>
      </c>
      <c r="I16">
        <v>0.60229999999999995</v>
      </c>
      <c r="J16">
        <v>7.1680999999999995E-2</v>
      </c>
      <c r="K16">
        <v>1.2189E-2</v>
      </c>
      <c r="L16">
        <v>7.5810000000000001E-3</v>
      </c>
      <c r="M16">
        <v>7.3104000000000002E-2</v>
      </c>
      <c r="N16" s="1">
        <v>1.83529E-18</v>
      </c>
      <c r="O16" s="1">
        <v>2.2882099999999999E-19</v>
      </c>
      <c r="P16" s="1">
        <v>3.8910899999999998E-20</v>
      </c>
      <c r="Q16" s="1">
        <v>2.4200900000000001E-20</v>
      </c>
      <c r="R16" s="1">
        <v>2.33364E-19</v>
      </c>
    </row>
    <row r="17" spans="1:18" x14ac:dyDescent="0.2">
      <c r="A17" s="15" t="s">
        <v>32</v>
      </c>
      <c r="B17" s="14">
        <f>O6</f>
        <v>2.4716199999999999E-19</v>
      </c>
      <c r="C17" s="14">
        <f>O12</f>
        <v>2.1115499999999999E-19</v>
      </c>
      <c r="D17" s="14">
        <f>O18</f>
        <v>1.7391799999999999E-19</v>
      </c>
      <c r="E17" s="14">
        <f>O24</f>
        <v>1.2742300000000001E-19</v>
      </c>
      <c r="F17" s="1">
        <f>SQRT(B19^2+C19^2+D19^2+E19^2)/4</f>
        <v>0</v>
      </c>
      <c r="H17" t="s">
        <v>25</v>
      </c>
      <c r="I17">
        <v>0.65904099999999999</v>
      </c>
      <c r="J17">
        <v>8.2004999999999995E-2</v>
      </c>
      <c r="K17">
        <v>1.2782E-2</v>
      </c>
      <c r="L17">
        <v>7.5810000000000001E-3</v>
      </c>
      <c r="M17">
        <v>8.3340999999999998E-2</v>
      </c>
      <c r="N17" s="1">
        <v>2.0164200000000002E-18</v>
      </c>
      <c r="O17" s="1">
        <v>2.6177799999999998E-19</v>
      </c>
      <c r="P17" s="1">
        <v>4.0803800000000001E-20</v>
      </c>
      <c r="Q17" s="1">
        <v>2.4200900000000001E-20</v>
      </c>
      <c r="R17" s="1">
        <v>2.6604199999999998E-19</v>
      </c>
    </row>
    <row r="18" spans="1:18" x14ac:dyDescent="0.2">
      <c r="A18" s="10" t="s">
        <v>33</v>
      </c>
      <c r="B18" s="13">
        <f>B17/B2</f>
        <v>0.18343760900704326</v>
      </c>
      <c r="C18" s="13">
        <f>C17/C2</f>
        <v>0.1732838209347175</v>
      </c>
      <c r="D18" s="16">
        <f>D17/D2</f>
        <v>8.9856884525962286E-2</v>
      </c>
      <c r="E18" s="16">
        <f>E17/E2</f>
        <v>7.8620744972944301E-2</v>
      </c>
      <c r="F18" s="2">
        <f>SQRT(B20^2+C20^2+D20^2+E20^2)/4</f>
        <v>0</v>
      </c>
      <c r="H18" t="s">
        <v>26</v>
      </c>
      <c r="I18">
        <v>0.63369299999999995</v>
      </c>
      <c r="J18">
        <v>5.4482000000000003E-2</v>
      </c>
      <c r="K18">
        <v>1.2567999999999999E-2</v>
      </c>
      <c r="L18">
        <v>7.5810000000000001E-3</v>
      </c>
      <c r="M18">
        <v>5.6424000000000002E-2</v>
      </c>
      <c r="N18" s="1">
        <v>1.9354999999999998E-18</v>
      </c>
      <c r="O18" s="1">
        <v>1.7391799999999999E-19</v>
      </c>
      <c r="P18" s="1">
        <v>4.01203E-20</v>
      </c>
      <c r="Q18" s="1">
        <v>2.4200900000000001E-20</v>
      </c>
      <c r="R18" s="1">
        <v>1.80119E-19</v>
      </c>
    </row>
    <row r="19" spans="1:18" x14ac:dyDescent="0.2">
      <c r="A19" s="20"/>
      <c r="B19" s="17"/>
      <c r="C19" s="17"/>
      <c r="D19" s="17"/>
      <c r="E19" s="17"/>
    </row>
    <row r="20" spans="1:18" x14ac:dyDescent="0.2">
      <c r="A20" s="7" t="s">
        <v>16</v>
      </c>
      <c r="B20" s="9"/>
      <c r="C20" s="9"/>
      <c r="D20" s="9"/>
      <c r="E20" s="9"/>
      <c r="I20" t="s">
        <v>28</v>
      </c>
      <c r="J20" t="s">
        <v>29</v>
      </c>
      <c r="K20" t="s">
        <v>30</v>
      </c>
      <c r="L20" t="s">
        <v>29</v>
      </c>
    </row>
    <row r="21" spans="1:18" x14ac:dyDescent="0.2">
      <c r="A21" s="11" t="s">
        <v>13</v>
      </c>
      <c r="B21" s="12">
        <f>SQRT(B17^2+B13^2+B9^2)</f>
        <v>2.4955726126165914E-19</v>
      </c>
      <c r="C21" s="12">
        <f>SQRT(C17^2+C13^2+C9^2)</f>
        <v>2.1400050628409736E-19</v>
      </c>
      <c r="D21" s="12">
        <f>SQRT(D17^2+D13^2+D9^2)</f>
        <v>1.8011882954566411E-19</v>
      </c>
      <c r="E21" s="12">
        <f>SQRT(E17^2+E13^2+E9^2)</f>
        <v>1.3430660859842304E-19</v>
      </c>
      <c r="H21" t="s">
        <v>18</v>
      </c>
      <c r="I21" t="s">
        <v>19</v>
      </c>
      <c r="J21" t="s">
        <v>20</v>
      </c>
      <c r="K21" t="s">
        <v>21</v>
      </c>
      <c r="L21" t="s">
        <v>22</v>
      </c>
      <c r="M21" t="s">
        <v>23</v>
      </c>
      <c r="N21" t="s">
        <v>19</v>
      </c>
      <c r="O21" t="s">
        <v>20</v>
      </c>
      <c r="P21" t="s">
        <v>21</v>
      </c>
      <c r="Q21" t="s">
        <v>22</v>
      </c>
      <c r="R21" t="s">
        <v>23</v>
      </c>
    </row>
    <row r="22" spans="1:18" x14ac:dyDescent="0.2">
      <c r="A22" s="10" t="s">
        <v>14</v>
      </c>
      <c r="B22" s="13">
        <f>B21/B2</f>
        <v>0.18521531350363232</v>
      </c>
      <c r="C22" s="13">
        <f>C21/C2</f>
        <v>0.17561897852701766</v>
      </c>
      <c r="D22" s="13">
        <f>D21/D2</f>
        <v>9.3060619760095137E-2</v>
      </c>
      <c r="E22" s="16">
        <f>E21/E2</f>
        <v>8.2867972209080501E-2</v>
      </c>
      <c r="H22" t="s">
        <v>24</v>
      </c>
      <c r="I22">
        <v>0.51426300000000003</v>
      </c>
      <c r="J22">
        <v>5.2256999999999998E-2</v>
      </c>
      <c r="K22">
        <v>1.0314E-2</v>
      </c>
      <c r="L22">
        <v>7.8659999999999997E-3</v>
      </c>
      <c r="M22">
        <v>5.3842000000000001E-2</v>
      </c>
      <c r="N22" s="1">
        <v>1.54133E-18</v>
      </c>
      <c r="O22" s="1">
        <v>1.66815E-19</v>
      </c>
      <c r="P22" s="1">
        <v>3.2924999999999998E-20</v>
      </c>
      <c r="Q22" s="1">
        <v>2.5111099999999999E-20</v>
      </c>
      <c r="R22" s="1">
        <v>1.7187700000000001E-19</v>
      </c>
    </row>
    <row r="23" spans="1:18" x14ac:dyDescent="0.2">
      <c r="A23" s="5"/>
      <c r="B23" s="1"/>
      <c r="C23" s="1"/>
      <c r="D23" s="1"/>
      <c r="E23" s="1"/>
      <c r="H23" t="s">
        <v>25</v>
      </c>
      <c r="I23">
        <v>0.55811599999999995</v>
      </c>
      <c r="J23">
        <v>6.0421000000000002E-2</v>
      </c>
      <c r="K23">
        <v>1.1013999999999999E-2</v>
      </c>
      <c r="L23">
        <v>7.8659999999999997E-3</v>
      </c>
      <c r="M23">
        <v>6.1919000000000002E-2</v>
      </c>
      <c r="N23" s="1">
        <v>1.6813199999999999E-18</v>
      </c>
      <c r="O23" s="1">
        <v>1.92878E-19</v>
      </c>
      <c r="P23" s="1">
        <v>3.5160100000000003E-20</v>
      </c>
      <c r="Q23" s="1">
        <v>2.5111099999999999E-20</v>
      </c>
      <c r="R23" s="1">
        <v>1.9765800000000001E-19</v>
      </c>
    </row>
    <row r="24" spans="1:18" x14ac:dyDescent="0.2">
      <c r="A24" s="5"/>
      <c r="B24" s="3"/>
      <c r="C24" s="3"/>
      <c r="D24" s="3"/>
      <c r="E24" s="4"/>
      <c r="H24" t="s">
        <v>26</v>
      </c>
      <c r="I24">
        <v>0.53913599999999995</v>
      </c>
      <c r="J24">
        <v>3.9917000000000001E-2</v>
      </c>
      <c r="K24">
        <v>1.072E-2</v>
      </c>
      <c r="L24">
        <v>7.8659999999999997E-3</v>
      </c>
      <c r="M24">
        <v>4.2072999999999999E-2</v>
      </c>
      <c r="N24" s="1">
        <v>1.62073E-18</v>
      </c>
      <c r="O24" s="1">
        <v>1.2742300000000001E-19</v>
      </c>
      <c r="P24" s="1">
        <v>3.4221000000000001E-20</v>
      </c>
      <c r="Q24" s="1">
        <v>2.5111099999999999E-20</v>
      </c>
      <c r="R24" s="1">
        <v>1.3430599999999999E-19</v>
      </c>
    </row>
    <row r="25" spans="1:18" x14ac:dyDescent="0.2">
      <c r="C25" s="1"/>
    </row>
    <row r="26" spans="1:18" x14ac:dyDescent="0.2">
      <c r="A26" s="5" t="s">
        <v>27</v>
      </c>
      <c r="B26" s="1">
        <f>B3-B21</f>
        <v>-2.6126165913841709E-25</v>
      </c>
      <c r="C26" s="1">
        <f>C3-C21</f>
        <v>-5.0628409736029489E-25</v>
      </c>
      <c r="D26" s="1">
        <f>D3-D21</f>
        <v>1.7045433588705577E-25</v>
      </c>
      <c r="E26" s="1">
        <f>E3-E21</f>
        <v>-6.0859842305254896E-25</v>
      </c>
    </row>
    <row r="27" spans="1:18" x14ac:dyDescent="0.2">
      <c r="B27" s="1">
        <f>SQRT(B19^2+C19^2+D19^2+E19^2)/4</f>
        <v>0</v>
      </c>
    </row>
    <row r="28" spans="1:18" x14ac:dyDescent="0.2">
      <c r="N28" s="1"/>
      <c r="O28" s="1"/>
      <c r="P28" s="1"/>
      <c r="Q28" s="1"/>
      <c r="R28" s="1"/>
    </row>
    <row r="29" spans="1:18" x14ac:dyDescent="0.2">
      <c r="B29" s="1"/>
      <c r="C29" s="1"/>
      <c r="N29" s="1"/>
      <c r="O29" s="1"/>
      <c r="P29" s="1"/>
      <c r="Q29" s="1"/>
      <c r="R29" s="1"/>
    </row>
    <row r="30" spans="1:18" x14ac:dyDescent="0.2">
      <c r="N30" s="1"/>
      <c r="O30" s="1"/>
      <c r="P30" s="1"/>
      <c r="Q30" s="1"/>
      <c r="R3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Run-1 (main)</vt:lpstr>
      <vt:lpstr>Run-1 (noAccCorr) </vt:lpstr>
      <vt:lpstr>Run-1 (noDilCorr) </vt:lpstr>
      <vt:lpstr>Run-1 (noVertCorr)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2022-03-22T10:24:24Z</cp:lastPrinted>
  <dcterms:created xsi:type="dcterms:W3CDTF">2021-12-17T14:34:16Z</dcterms:created>
  <dcterms:modified xsi:type="dcterms:W3CDTF">2022-04-19T23:25:36Z</dcterms:modified>
</cp:coreProperties>
</file>