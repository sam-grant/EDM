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muelgrant/Documents/gm2/EDM/Sheets/"/>
    </mc:Choice>
  </mc:AlternateContent>
  <xr:revisionPtr revIDLastSave="0" documentId="13_ncr:1_{4B557F89-AE0D-0A48-B0FE-6FC17BE9A720}" xr6:coauthVersionLast="47" xr6:coauthVersionMax="47" xr10:uidLastSave="{00000000-0000-0000-0000-000000000000}"/>
  <bookViews>
    <workbookView xWindow="0" yWindow="500" windowWidth="28800" windowHeight="17500" xr2:uid="{C29EF40E-6384-C447-AF4D-92516C1B0710}"/>
  </bookViews>
  <sheets>
    <sheet name="Run-1 (v2) (acceptance reweigh)" sheetId="16" r:id="rId1"/>
    <sheet name="Run-1 (v2) (HS refit)" sheetId="14" r:id="rId2"/>
    <sheet name="Run-1 (v2) (HS reweight refit)" sheetId="13" r:id="rId3"/>
    <sheet name="Run-1 (v2) (HS reweight)" sheetId="12" r:id="rId4"/>
    <sheet name="Run-1 (v2) (HS)" sheetId="11" r:id="rId5"/>
    <sheet name="Run-1 (v2)" sheetId="6" r:id="rId6"/>
    <sheet name="Run-1 (v1)" sheetId="1" r:id="rId7"/>
    <sheet name="Sheet1" sheetId="1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7" i="16" l="1"/>
  <c r="F18" i="16"/>
  <c r="F17" i="16"/>
  <c r="E17" i="16"/>
  <c r="E18" i="16" s="1"/>
  <c r="D17" i="16"/>
  <c r="D18" i="16" s="1"/>
  <c r="C17" i="16"/>
  <c r="B17" i="16"/>
  <c r="E16" i="16"/>
  <c r="D16" i="16"/>
  <c r="C16" i="16"/>
  <c r="B16" i="16"/>
  <c r="F13" i="16"/>
  <c r="E13" i="16"/>
  <c r="E21" i="16" s="1"/>
  <c r="E22" i="16" s="1"/>
  <c r="D13" i="16"/>
  <c r="C13" i="16"/>
  <c r="C14" i="16" s="1"/>
  <c r="B13" i="16"/>
  <c r="E12" i="16"/>
  <c r="D12" i="16"/>
  <c r="C12" i="16"/>
  <c r="B12" i="16"/>
  <c r="F9" i="16"/>
  <c r="E9" i="16"/>
  <c r="D9" i="16"/>
  <c r="C9" i="16"/>
  <c r="C10" i="16" s="1"/>
  <c r="B9" i="16"/>
  <c r="E8" i="16"/>
  <c r="D8" i="16"/>
  <c r="C8" i="16"/>
  <c r="B8" i="16"/>
  <c r="E3" i="16"/>
  <c r="D3" i="16"/>
  <c r="C3" i="16"/>
  <c r="B3" i="16"/>
  <c r="E2" i="16"/>
  <c r="D2" i="16"/>
  <c r="D14" i="16" s="1"/>
  <c r="C2" i="16"/>
  <c r="B2" i="16"/>
  <c r="B27" i="14"/>
  <c r="F18" i="14"/>
  <c r="F17" i="14"/>
  <c r="E17" i="14"/>
  <c r="D17" i="14"/>
  <c r="C17" i="14"/>
  <c r="C18" i="14" s="1"/>
  <c r="B17" i="14"/>
  <c r="E16" i="14"/>
  <c r="D16" i="14"/>
  <c r="C16" i="14"/>
  <c r="B16" i="14"/>
  <c r="F13" i="14"/>
  <c r="E13" i="14"/>
  <c r="D13" i="14"/>
  <c r="C13" i="14"/>
  <c r="C21" i="14" s="1"/>
  <c r="B13" i="14"/>
  <c r="E12" i="14"/>
  <c r="D12" i="14"/>
  <c r="C12" i="14"/>
  <c r="B12" i="14"/>
  <c r="F9" i="14"/>
  <c r="E9" i="14"/>
  <c r="E10" i="14" s="1"/>
  <c r="D9" i="14"/>
  <c r="C9" i="14"/>
  <c r="B9" i="14"/>
  <c r="E8" i="14"/>
  <c r="D8" i="14"/>
  <c r="C8" i="14"/>
  <c r="B8" i="14"/>
  <c r="D4" i="14"/>
  <c r="E3" i="14"/>
  <c r="D3" i="14"/>
  <c r="C3" i="14"/>
  <c r="B3" i="14"/>
  <c r="E2" i="14"/>
  <c r="D2" i="14"/>
  <c r="C2" i="14"/>
  <c r="B2" i="14"/>
  <c r="B14" i="14" s="1"/>
  <c r="B27" i="13"/>
  <c r="F18" i="13"/>
  <c r="F17" i="13"/>
  <c r="E17" i="13"/>
  <c r="D17" i="13"/>
  <c r="C17" i="13"/>
  <c r="B17" i="13"/>
  <c r="E16" i="13"/>
  <c r="D16" i="13"/>
  <c r="C16" i="13"/>
  <c r="B16" i="13"/>
  <c r="F13" i="13"/>
  <c r="E13" i="13"/>
  <c r="E14" i="13" s="1"/>
  <c r="D13" i="13"/>
  <c r="C13" i="13"/>
  <c r="B13" i="13"/>
  <c r="E12" i="13"/>
  <c r="D12" i="13"/>
  <c r="C12" i="13"/>
  <c r="B12" i="13"/>
  <c r="F9" i="13"/>
  <c r="E9" i="13"/>
  <c r="E10" i="13" s="1"/>
  <c r="D9" i="13"/>
  <c r="C9" i="13"/>
  <c r="C10" i="13" s="1"/>
  <c r="B9" i="13"/>
  <c r="E8" i="13"/>
  <c r="D8" i="13"/>
  <c r="C8" i="13"/>
  <c r="B8" i="13"/>
  <c r="E3" i="13"/>
  <c r="D3" i="13"/>
  <c r="C3" i="13"/>
  <c r="B3" i="13"/>
  <c r="F3" i="13" s="1"/>
  <c r="E2" i="13"/>
  <c r="D2" i="13"/>
  <c r="D14" i="13" s="1"/>
  <c r="C2" i="13"/>
  <c r="B2" i="13"/>
  <c r="F2" i="13" s="1"/>
  <c r="B27" i="12"/>
  <c r="F18" i="12"/>
  <c r="F17" i="12"/>
  <c r="E17" i="12"/>
  <c r="E21" i="12" s="1"/>
  <c r="E22" i="12" s="1"/>
  <c r="D17" i="12"/>
  <c r="C17" i="12"/>
  <c r="B17" i="12"/>
  <c r="E16" i="12"/>
  <c r="D16" i="12"/>
  <c r="C16" i="12"/>
  <c r="B16" i="12"/>
  <c r="F13" i="12"/>
  <c r="E13" i="12"/>
  <c r="D13" i="12"/>
  <c r="C13" i="12"/>
  <c r="B13" i="12"/>
  <c r="E12" i="12"/>
  <c r="D12" i="12"/>
  <c r="C12" i="12"/>
  <c r="B12" i="12"/>
  <c r="F10" i="12" s="1"/>
  <c r="F9" i="12"/>
  <c r="E9" i="12"/>
  <c r="D9" i="12"/>
  <c r="C9" i="12"/>
  <c r="B9" i="12"/>
  <c r="E8" i="12"/>
  <c r="D8" i="12"/>
  <c r="C8" i="12"/>
  <c r="B8" i="12"/>
  <c r="E3" i="12"/>
  <c r="D3" i="12"/>
  <c r="C3" i="12"/>
  <c r="B3" i="12"/>
  <c r="E2" i="12"/>
  <c r="E14" i="12" s="1"/>
  <c r="D2" i="12"/>
  <c r="D18" i="12" s="1"/>
  <c r="C2" i="12"/>
  <c r="C4" i="12" s="1"/>
  <c r="B2" i="12"/>
  <c r="E17" i="11"/>
  <c r="E18" i="11" s="1"/>
  <c r="D17" i="11"/>
  <c r="D21" i="11" s="1"/>
  <c r="D22" i="11" s="1"/>
  <c r="C17" i="11"/>
  <c r="C21" i="11" s="1"/>
  <c r="C22" i="11" s="1"/>
  <c r="B17" i="11"/>
  <c r="B18" i="11" s="1"/>
  <c r="E16" i="11"/>
  <c r="D16" i="11"/>
  <c r="C16" i="11"/>
  <c r="B16" i="11"/>
  <c r="E13" i="11"/>
  <c r="E14" i="11" s="1"/>
  <c r="D13" i="11"/>
  <c r="D14" i="11" s="1"/>
  <c r="C13" i="11"/>
  <c r="C14" i="11" s="1"/>
  <c r="B13" i="11"/>
  <c r="B14" i="11" s="1"/>
  <c r="E12" i="11"/>
  <c r="D12" i="11"/>
  <c r="C12" i="11"/>
  <c r="B12" i="11"/>
  <c r="E9" i="11"/>
  <c r="E10" i="11" s="1"/>
  <c r="D9" i="11"/>
  <c r="D10" i="11" s="1"/>
  <c r="C9" i="11"/>
  <c r="C10" i="11" s="1"/>
  <c r="B9" i="11"/>
  <c r="B10" i="11" s="1"/>
  <c r="E8" i="11"/>
  <c r="D8" i="11"/>
  <c r="C8" i="11"/>
  <c r="B8" i="11"/>
  <c r="E3" i="11"/>
  <c r="F3" i="11" s="1"/>
  <c r="D3" i="11"/>
  <c r="D4" i="11" s="1"/>
  <c r="C3" i="11"/>
  <c r="C4" i="11" s="1"/>
  <c r="B3" i="11"/>
  <c r="B4" i="11" s="1"/>
  <c r="E2" i="11"/>
  <c r="D2" i="11"/>
  <c r="C2" i="11"/>
  <c r="B2" i="11"/>
  <c r="E3" i="6"/>
  <c r="D3" i="6"/>
  <c r="D4" i="6" s="1"/>
  <c r="C3" i="6"/>
  <c r="B3" i="6"/>
  <c r="E2" i="6"/>
  <c r="D2" i="6"/>
  <c r="F2" i="6" s="1"/>
  <c r="C2" i="6"/>
  <c r="B2" i="6"/>
  <c r="B4" i="6"/>
  <c r="B8" i="6"/>
  <c r="F17" i="6"/>
  <c r="F9" i="6"/>
  <c r="F8" i="6"/>
  <c r="F13" i="6"/>
  <c r="F12" i="6"/>
  <c r="E15" i="6"/>
  <c r="D15" i="6"/>
  <c r="C15" i="6"/>
  <c r="B15" i="6"/>
  <c r="E14" i="6"/>
  <c r="D14" i="6"/>
  <c r="C14" i="6"/>
  <c r="B14" i="6"/>
  <c r="F16" i="6" s="1"/>
  <c r="E11" i="6"/>
  <c r="E12" i="6" s="1"/>
  <c r="D11" i="6"/>
  <c r="C11" i="6"/>
  <c r="C12" i="6" s="1"/>
  <c r="B11" i="6"/>
  <c r="B12" i="6" s="1"/>
  <c r="E10" i="6"/>
  <c r="D10" i="6"/>
  <c r="C10" i="6"/>
  <c r="B10" i="6"/>
  <c r="E7" i="6"/>
  <c r="E8" i="6" s="1"/>
  <c r="D7" i="6"/>
  <c r="C7" i="6"/>
  <c r="C8" i="6" s="1"/>
  <c r="B7" i="6"/>
  <c r="E6" i="6"/>
  <c r="D6" i="6"/>
  <c r="C6" i="6"/>
  <c r="B6" i="6"/>
  <c r="E16" i="6"/>
  <c r="E4" i="6"/>
  <c r="C4" i="6"/>
  <c r="E8" i="1"/>
  <c r="E9" i="1" s="1"/>
  <c r="D8" i="1"/>
  <c r="D9" i="1" s="1"/>
  <c r="D10" i="1" s="1"/>
  <c r="C8" i="1"/>
  <c r="C9" i="1" s="1"/>
  <c r="C10" i="1" s="1"/>
  <c r="B8" i="1"/>
  <c r="B9" i="1" s="1"/>
  <c r="B10" i="1" s="1"/>
  <c r="D17" i="1"/>
  <c r="D18" i="1" s="1"/>
  <c r="C17" i="1"/>
  <c r="C18" i="1" s="1"/>
  <c r="E17" i="1"/>
  <c r="E18" i="1" s="1"/>
  <c r="B17" i="1"/>
  <c r="B18" i="1" s="1"/>
  <c r="C13" i="1"/>
  <c r="D13" i="1"/>
  <c r="D14" i="1" s="1"/>
  <c r="E13" i="1"/>
  <c r="E14" i="1" s="1"/>
  <c r="B13" i="1"/>
  <c r="C4" i="1"/>
  <c r="D4" i="1"/>
  <c r="E4" i="1"/>
  <c r="B4" i="1"/>
  <c r="C21" i="16" l="1"/>
  <c r="C22" i="16" s="1"/>
  <c r="C26" i="16"/>
  <c r="D10" i="16"/>
  <c r="F3" i="16"/>
  <c r="B14" i="16"/>
  <c r="B4" i="16"/>
  <c r="B18" i="16"/>
  <c r="B10" i="16"/>
  <c r="F8" i="16" s="1"/>
  <c r="E10" i="16"/>
  <c r="F2" i="16"/>
  <c r="F14" i="16"/>
  <c r="E26" i="16"/>
  <c r="F10" i="16"/>
  <c r="D21" i="16"/>
  <c r="D22" i="16" s="1"/>
  <c r="C4" i="16"/>
  <c r="E14" i="16"/>
  <c r="F12" i="16" s="1"/>
  <c r="D4" i="16"/>
  <c r="C18" i="16"/>
  <c r="F16" i="16" s="1"/>
  <c r="B21" i="16"/>
  <c r="E4" i="16"/>
  <c r="C4" i="14"/>
  <c r="B21" i="14"/>
  <c r="F10" i="14"/>
  <c r="D14" i="14"/>
  <c r="B4" i="14"/>
  <c r="B18" i="14"/>
  <c r="C10" i="14"/>
  <c r="E14" i="14"/>
  <c r="D18" i="14"/>
  <c r="E26" i="14"/>
  <c r="D10" i="14"/>
  <c r="F14" i="14"/>
  <c r="E21" i="14"/>
  <c r="E22" i="14" s="1"/>
  <c r="B26" i="14"/>
  <c r="B22" i="14"/>
  <c r="C26" i="14"/>
  <c r="C22" i="14"/>
  <c r="F3" i="14"/>
  <c r="B10" i="14"/>
  <c r="C14" i="14"/>
  <c r="F12" i="14" s="1"/>
  <c r="E18" i="14"/>
  <c r="F16" i="14" s="1"/>
  <c r="D21" i="14"/>
  <c r="D22" i="14" s="1"/>
  <c r="E4" i="14"/>
  <c r="F4" i="14" s="1"/>
  <c r="F2" i="14"/>
  <c r="B4" i="13"/>
  <c r="D10" i="13"/>
  <c r="F10" i="13"/>
  <c r="B14" i="13"/>
  <c r="E21" i="13"/>
  <c r="E22" i="13" s="1"/>
  <c r="C14" i="13"/>
  <c r="B18" i="13"/>
  <c r="F16" i="13" s="1"/>
  <c r="B10" i="13"/>
  <c r="F14" i="13"/>
  <c r="C21" i="13"/>
  <c r="C22" i="13" s="1"/>
  <c r="D21" i="13"/>
  <c r="D22" i="13" s="1"/>
  <c r="F8" i="13"/>
  <c r="C4" i="13"/>
  <c r="D4" i="13"/>
  <c r="C18" i="13"/>
  <c r="B21" i="13"/>
  <c r="E4" i="13"/>
  <c r="D18" i="13"/>
  <c r="E18" i="13"/>
  <c r="E26" i="12"/>
  <c r="F14" i="12"/>
  <c r="E10" i="12"/>
  <c r="E4" i="12"/>
  <c r="D10" i="12"/>
  <c r="B10" i="12"/>
  <c r="F8" i="12" s="1"/>
  <c r="B21" i="12"/>
  <c r="B22" i="12" s="1"/>
  <c r="D4" i="12"/>
  <c r="C10" i="12"/>
  <c r="D14" i="12"/>
  <c r="C18" i="12"/>
  <c r="B18" i="12"/>
  <c r="F16" i="12" s="1"/>
  <c r="F2" i="12"/>
  <c r="D21" i="12"/>
  <c r="D22" i="12" s="1"/>
  <c r="B14" i="12"/>
  <c r="B26" i="12"/>
  <c r="F3" i="12"/>
  <c r="C21" i="12"/>
  <c r="C22" i="12" s="1"/>
  <c r="C14" i="12"/>
  <c r="B4" i="12"/>
  <c r="E18" i="12"/>
  <c r="D26" i="12"/>
  <c r="C26" i="11"/>
  <c r="D26" i="11"/>
  <c r="E21" i="11"/>
  <c r="B21" i="11"/>
  <c r="C18" i="11"/>
  <c r="E4" i="11"/>
  <c r="D18" i="11"/>
  <c r="F16" i="11" s="1"/>
  <c r="D8" i="6"/>
  <c r="F10" i="6" s="1"/>
  <c r="D12" i="6"/>
  <c r="F14" i="6" s="1"/>
  <c r="F4" i="6"/>
  <c r="F3" i="6"/>
  <c r="F2" i="11"/>
  <c r="F8" i="11"/>
  <c r="F9" i="11"/>
  <c r="F12" i="11"/>
  <c r="F13" i="11"/>
  <c r="B27" i="11"/>
  <c r="F10" i="11"/>
  <c r="F17" i="11"/>
  <c r="F14" i="11"/>
  <c r="B27" i="6"/>
  <c r="B19" i="6"/>
  <c r="B24" i="6" s="1"/>
  <c r="C19" i="6"/>
  <c r="C24" i="6" s="1"/>
  <c r="D19" i="6"/>
  <c r="D24" i="6" s="1"/>
  <c r="B16" i="6"/>
  <c r="E19" i="6"/>
  <c r="E24" i="6" s="1"/>
  <c r="C16" i="6"/>
  <c r="D16" i="6"/>
  <c r="E21" i="1"/>
  <c r="E24" i="1" s="1"/>
  <c r="C21" i="1"/>
  <c r="E10" i="1"/>
  <c r="C14" i="1"/>
  <c r="D21" i="1"/>
  <c r="B21" i="1"/>
  <c r="B14" i="1"/>
  <c r="F4" i="16" l="1"/>
  <c r="D26" i="16"/>
  <c r="B26" i="16"/>
  <c r="B22" i="16"/>
  <c r="F8" i="14"/>
  <c r="D26" i="14"/>
  <c r="C26" i="13"/>
  <c r="E26" i="13"/>
  <c r="F12" i="13"/>
  <c r="D26" i="13"/>
  <c r="F4" i="13"/>
  <c r="B26" i="13"/>
  <c r="B22" i="13"/>
  <c r="F4" i="12"/>
  <c r="F12" i="12"/>
  <c r="C26" i="12"/>
  <c r="B22" i="11"/>
  <c r="B26" i="11"/>
  <c r="E22" i="11"/>
  <c r="E26" i="11"/>
  <c r="F4" i="11"/>
  <c r="F18" i="11"/>
  <c r="F18" i="6"/>
  <c r="E20" i="6"/>
  <c r="D20" i="6"/>
  <c r="B20" i="6"/>
  <c r="C20" i="6"/>
  <c r="E22" i="1"/>
  <c r="C22" i="1"/>
  <c r="C24" i="1"/>
  <c r="D22" i="1"/>
  <c r="D24" i="1"/>
  <c r="B22" i="1"/>
  <c r="B24" i="1"/>
</calcChain>
</file>

<file path=xl/sharedStrings.xml><?xml version="1.0" encoding="utf-8"?>
<sst xmlns="http://schemas.openxmlformats.org/spreadsheetml/2006/main" count="595" uniqueCount="55">
  <si>
    <t>Run-1a</t>
  </si>
  <si>
    <t>Run-1b</t>
  </si>
  <si>
    <t xml:space="preserve">Run-1c </t>
  </si>
  <si>
    <t xml:space="preserve">Run-1d </t>
  </si>
  <si>
    <t>Error bar [ecm]</t>
  </si>
  <si>
    <t>Central value [ecm]</t>
  </si>
  <si>
    <t>Radial magnetic field [ecm]</t>
  </si>
  <si>
    <t>Radial magnetic field [%]</t>
  </si>
  <si>
    <t>Error bar [%]</t>
  </si>
  <si>
    <t>Dilution correction [ecm]</t>
  </si>
  <si>
    <t>Dilution correction [%]</t>
  </si>
  <si>
    <t>Radial magnetic field [mrad]</t>
  </si>
  <si>
    <t>Dilution correction [mrad]</t>
  </si>
  <si>
    <t>K</t>
  </si>
  <si>
    <t>Cm2ecm</t>
  </si>
  <si>
    <t>Convert mrad to ecm</t>
  </si>
  <si>
    <t>Fit to delta'(p)  [ecm]</t>
  </si>
  <si>
    <t>Fit to delta'(p)  [mrad]</t>
  </si>
  <si>
    <t>Fit to delta'(p)  [%]</t>
  </si>
  <si>
    <t>Quadrature sum [ecm]</t>
  </si>
  <si>
    <t>Quadrature sum [%]</t>
  </si>
  <si>
    <t>Contributions:</t>
  </si>
  <si>
    <t>Sanity check:</t>
  </si>
  <si>
    <t xml:space="preserve">Dataset </t>
  </si>
  <si>
    <t>Station</t>
  </si>
  <si>
    <t xml:space="preserve"> value</t>
  </si>
  <si>
    <t xml:space="preserve"> fit_error</t>
  </si>
  <si>
    <t xml:space="preserve"> dil_error</t>
  </si>
  <si>
    <t xml:space="preserve"> Br_error</t>
  </si>
  <si>
    <t xml:space="preserve"> tot_error</t>
  </si>
  <si>
    <t>S12</t>
  </si>
  <si>
    <t>S18</t>
  </si>
  <si>
    <t>S12S18</t>
  </si>
  <si>
    <t>Run-1c</t>
  </si>
  <si>
    <t>Run-1d</t>
  </si>
  <si>
    <t>Rounding error [ecm]</t>
  </si>
  <si>
    <t>Statisical  [mrad]</t>
  </si>
  <si>
    <t>Statistical [ecm]</t>
  </si>
  <si>
    <t>Statistical  [%]</t>
  </si>
  <si>
    <t xml:space="preserve"> delta_prime</t>
  </si>
  <si>
    <t xml:space="preserve"> </t>
  </si>
  <si>
    <t xml:space="preserve"> dMu [ecm]</t>
  </si>
  <si>
    <t> value</t>
  </si>
  <si>
    <t> fit_error</t>
  </si>
  <si>
    <t> dil_error</t>
  </si>
  <si>
    <t> Br_error</t>
  </si>
  <si>
    <t> tot_error</t>
  </si>
  <si>
    <t>NEW</t>
  </si>
  <si>
    <t>OLD</t>
  </si>
  <si>
    <t xml:space="preserve">No acceptance weighting </t>
  </si>
  <si>
    <t xml:space="preserve">Acceptance weighting </t>
  </si>
  <si>
    <t>Blind tilt angles [mrad]</t>
  </si>
  <si>
    <t>pol0 fit error [mrad]</t>
  </si>
  <si>
    <t>pol0 error [ecm]</t>
  </si>
  <si>
    <t>pol0 error  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</si>
</sst>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00E+00"/>
    <numFmt numFmtId="166" formatCode="0.0000"/>
    <numFmt numFmtId="167" formatCode="0.00000"/>
    <numFmt numFmtId="168" formatCode="0.000%"/>
    <numFmt numFmtId="169" formatCode="0.0000E+00"/>
  </numFmts>
  <fonts count="5" x14ac:knownFonts="1">
    <font>
      <sz val="12"/>
      <color theme="1"/>
      <name val="Calibri"/>
      <family val="2"/>
      <scheme val="minor"/>
    </font>
    <font>
      <sz val="10"/>
      <color rgb="FF000000"/>
      <name val="Helvetica Neue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5">
    <xf numFmtId="0" fontId="0" fillId="0" borderId="0" xfId="0"/>
    <xf numFmtId="11" fontId="0" fillId="0" borderId="0" xfId="0" applyNumberFormat="1"/>
    <xf numFmtId="0" fontId="0" fillId="0" borderId="0" xfId="0" applyAlignment="1"/>
    <xf numFmtId="9" fontId="0" fillId="0" borderId="0" xfId="1" applyFont="1"/>
    <xf numFmtId="164" fontId="0" fillId="0" borderId="0" xfId="1" applyNumberFormat="1" applyFont="1"/>
    <xf numFmtId="10" fontId="0" fillId="0" borderId="0" xfId="1" applyNumberFormat="1" applyFont="1"/>
    <xf numFmtId="0" fontId="3" fillId="0" borderId="0" xfId="0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 applyAlignment="1"/>
    <xf numFmtId="169" fontId="0" fillId="0" borderId="0" xfId="0" applyNumberFormat="1"/>
    <xf numFmtId="168" fontId="0" fillId="0" borderId="0" xfId="0" applyNumberFormat="1"/>
    <xf numFmtId="0" fontId="1" fillId="0" borderId="0" xfId="0" applyNumberFormat="1" applyFont="1"/>
    <xf numFmtId="11" fontId="3" fillId="0" borderId="0" xfId="0" applyNumberFormat="1" applyFont="1"/>
    <xf numFmtId="11" fontId="0" fillId="0" borderId="2" xfId="0" applyNumberFormat="1" applyBorder="1"/>
    <xf numFmtId="0" fontId="3" fillId="0" borderId="3" xfId="0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0" fontId="3" fillId="0" borderId="6" xfId="0" applyFont="1" applyBorder="1"/>
    <xf numFmtId="0" fontId="3" fillId="0" borderId="5" xfId="0" applyFont="1" applyBorder="1"/>
    <xf numFmtId="11" fontId="0" fillId="0" borderId="5" xfId="0" applyNumberFormat="1" applyBorder="1"/>
    <xf numFmtId="164" fontId="0" fillId="0" borderId="6" xfId="1" applyNumberFormat="1" applyFont="1" applyBorder="1"/>
    <xf numFmtId="11" fontId="0" fillId="0" borderId="7" xfId="0" applyNumberFormat="1" applyBorder="1"/>
    <xf numFmtId="0" fontId="3" fillId="0" borderId="7" xfId="0" applyFont="1" applyBorder="1"/>
    <xf numFmtId="0" fontId="3" fillId="0" borderId="8" xfId="0" applyFont="1" applyBorder="1"/>
    <xf numFmtId="11" fontId="0" fillId="0" borderId="9" xfId="0" applyNumberFormat="1" applyBorder="1"/>
    <xf numFmtId="10" fontId="0" fillId="0" borderId="6" xfId="1" applyNumberFormat="1" applyFont="1" applyBorder="1"/>
    <xf numFmtId="11" fontId="0" fillId="0" borderId="10" xfId="0" applyNumberFormat="1" applyBorder="1"/>
    <xf numFmtId="0" fontId="0" fillId="0" borderId="9" xfId="0" applyBorder="1"/>
    <xf numFmtId="0" fontId="0" fillId="0" borderId="10" xfId="0" applyBorder="1"/>
    <xf numFmtId="9" fontId="0" fillId="0" borderId="9" xfId="1" applyFont="1" applyBorder="1"/>
    <xf numFmtId="9" fontId="0" fillId="0" borderId="10" xfId="1" applyFont="1" applyBorder="1"/>
    <xf numFmtId="0" fontId="0" fillId="0" borderId="4" xfId="0" applyBorder="1"/>
    <xf numFmtId="9" fontId="0" fillId="0" borderId="3" xfId="1" applyFont="1" applyBorder="1"/>
    <xf numFmtId="0" fontId="3" fillId="0" borderId="10" xfId="0" applyFont="1" applyBorder="1"/>
    <xf numFmtId="0" fontId="3" fillId="0" borderId="2" xfId="0" applyFont="1" applyBorder="1"/>
    <xf numFmtId="0" fontId="0" fillId="0" borderId="0" xfId="0" applyBorder="1"/>
    <xf numFmtId="0" fontId="3" fillId="0" borderId="0" xfId="0" applyFont="1" applyFill="1" applyBorder="1"/>
    <xf numFmtId="9" fontId="0" fillId="0" borderId="4" xfId="1" applyFont="1" applyBorder="1"/>
    <xf numFmtId="0" fontId="4" fillId="0" borderId="0" xfId="0" applyFont="1"/>
    <xf numFmtId="0" fontId="1" fillId="0" borderId="0" xfId="0" applyFont="1"/>
    <xf numFmtId="11" fontId="1" fillId="0" borderId="0" xfId="0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2EF7A-1157-4D44-B170-DFD4B5A9AC0F}">
  <dimension ref="A1:R29"/>
  <sheetViews>
    <sheetView tabSelected="1" zoomScale="140" zoomScaleNormal="140" workbookViewId="0">
      <selection activeCell="A16" sqref="A16:A18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1.39568E-18</v>
      </c>
      <c r="C2" s="22">
        <f>N12</f>
        <v>1.2767600000000001E-18</v>
      </c>
      <c r="D2" s="22">
        <f>N18</f>
        <v>2.1938800000000001E-18</v>
      </c>
      <c r="E2" s="22">
        <f>N24</f>
        <v>1.8048900000000002E-18</v>
      </c>
      <c r="F2" s="1">
        <f>SQRT(B2^2+C2^2+D2^2+E2^2)/4</f>
        <v>8.5325758590606748E-19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2.5917300000000002E-19</v>
      </c>
      <c r="C3" s="24">
        <f>R12</f>
        <v>2.2214800000000002E-19</v>
      </c>
      <c r="D3" s="24">
        <f>R18</f>
        <v>1.8957E-19</v>
      </c>
      <c r="E3" s="24">
        <f>R24</f>
        <v>1.38575E-19</v>
      </c>
      <c r="F3" s="1">
        <f t="shared" ref="F3:F4" si="0">SQRT(B3^2+C3^2+D3^2+E3^2)/4</f>
        <v>1.0357973781041832E-19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0.18569657801215181</v>
      </c>
      <c r="C4" s="23">
        <f t="shared" ref="C4:E4" si="1">C3/C2</f>
        <v>0.17399354616372695</v>
      </c>
      <c r="D4" s="23">
        <f t="shared" si="1"/>
        <v>8.6408554706729632E-2</v>
      </c>
      <c r="E4" s="28">
        <f t="shared" si="1"/>
        <v>7.67775321487736E-2</v>
      </c>
      <c r="F4" s="1">
        <f t="shared" si="0"/>
        <v>6.9874083608218965E-2</v>
      </c>
      <c r="H4" t="s">
        <v>30</v>
      </c>
      <c r="I4">
        <v>0.62104700000000002</v>
      </c>
      <c r="J4">
        <v>0.11122700000000001</v>
      </c>
      <c r="K4">
        <v>1.0704999999999999E-2</v>
      </c>
      <c r="L4">
        <v>6.6709999999999998E-3</v>
      </c>
      <c r="M4">
        <v>0.11194</v>
      </c>
      <c r="N4" s="1">
        <v>1.9176099999999998E-18</v>
      </c>
      <c r="O4" s="1">
        <v>3.5506200000000001E-19</v>
      </c>
      <c r="P4" s="1">
        <v>3.4172699999999998E-20</v>
      </c>
      <c r="Q4" s="1">
        <v>2.1296100000000001E-20</v>
      </c>
      <c r="R4" s="1">
        <v>3.57338E-19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0.27496999999999999</v>
      </c>
      <c r="J5">
        <v>0.11677899999999999</v>
      </c>
      <c r="K5">
        <v>4.4889999999999999E-3</v>
      </c>
      <c r="L5">
        <v>6.6709999999999998E-3</v>
      </c>
      <c r="M5">
        <v>0.11705500000000001</v>
      </c>
      <c r="N5" s="1">
        <v>8.1285600000000003E-19</v>
      </c>
      <c r="O5" s="1">
        <v>3.7278300000000002E-19</v>
      </c>
      <c r="P5" s="1">
        <v>1.43292E-20</v>
      </c>
      <c r="Q5" s="1">
        <v>2.1296100000000001E-20</v>
      </c>
      <c r="R5" s="1">
        <v>3.7366600000000002E-19</v>
      </c>
    </row>
    <row r="6" spans="1:18" x14ac:dyDescent="0.2">
      <c r="A6" s="39" t="s">
        <v>21</v>
      </c>
      <c r="E6" s="38"/>
      <c r="F6" s="1"/>
      <c r="H6" t="s">
        <v>32</v>
      </c>
      <c r="I6">
        <v>0.45754600000000001</v>
      </c>
      <c r="J6">
        <v>8.0547999999999995E-2</v>
      </c>
      <c r="K6">
        <v>7.6949999999999996E-3</v>
      </c>
      <c r="L6">
        <v>6.6709999999999998E-3</v>
      </c>
      <c r="M6">
        <v>8.1188999999999997E-2</v>
      </c>
      <c r="N6" s="1">
        <v>1.39568E-18</v>
      </c>
      <c r="O6" s="1">
        <v>2.5712599999999998E-19</v>
      </c>
      <c r="P6" s="1">
        <v>2.45649E-20</v>
      </c>
      <c r="Q6" s="1">
        <v>2.1296100000000001E-20</v>
      </c>
      <c r="R6" s="1">
        <v>2.5917300000000002E-19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7.5132837478750717E-3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s="41" t="s">
        <v>24</v>
      </c>
      <c r="I9" s="42" t="s">
        <v>42</v>
      </c>
      <c r="J9" s="42" t="s">
        <v>43</v>
      </c>
      <c r="K9" s="42" t="s">
        <v>44</v>
      </c>
      <c r="L9" s="42" t="s">
        <v>45</v>
      </c>
      <c r="M9" s="42" t="s">
        <v>46</v>
      </c>
      <c r="N9" s="42" t="s">
        <v>42</v>
      </c>
      <c r="O9" s="42" t="s">
        <v>43</v>
      </c>
      <c r="P9" s="42" t="s">
        <v>44</v>
      </c>
      <c r="Q9" s="42" t="s">
        <v>45</v>
      </c>
      <c r="R9" s="42" t="s">
        <v>46</v>
      </c>
    </row>
    <row r="10" spans="1:18" x14ac:dyDescent="0.2">
      <c r="A10" s="20" t="s">
        <v>7</v>
      </c>
      <c r="B10" s="28">
        <f>B9/B2</f>
        <v>1.525858362948527E-2</v>
      </c>
      <c r="C10" s="28">
        <f>C9/C2</f>
        <v>1.8844497008051627E-2</v>
      </c>
      <c r="D10" s="28">
        <f>D9/D2</f>
        <v>1.1031095593195617E-2</v>
      </c>
      <c r="E10" s="28">
        <f>E9/E2</f>
        <v>1.3912814631362574E-2</v>
      </c>
      <c r="F10" s="3">
        <f>SQRT(B12^2+C12^2+D12^2+E12^2)/4</f>
        <v>4.568095329292067E-3</v>
      </c>
      <c r="H10" s="41" t="s">
        <v>30</v>
      </c>
      <c r="I10" s="42">
        <v>0.37762099999999998</v>
      </c>
      <c r="J10" s="42">
        <v>9.5033000000000006E-2</v>
      </c>
      <c r="K10" s="42">
        <v>6.1419999999999999E-3</v>
      </c>
      <c r="L10" s="42">
        <v>7.5370000000000003E-3</v>
      </c>
      <c r="M10" s="42">
        <v>9.5529000000000003E-2</v>
      </c>
      <c r="N10" s="43">
        <v>1.1384E-18</v>
      </c>
      <c r="O10" s="43">
        <v>3.03366E-19</v>
      </c>
      <c r="P10" s="43">
        <v>1.9606999999999999E-20</v>
      </c>
      <c r="Q10" s="43">
        <v>2.4059899999999999E-20</v>
      </c>
      <c r="R10" s="43">
        <v>3.0495000000000001E-19</v>
      </c>
    </row>
    <row r="11" spans="1:18" x14ac:dyDescent="0.2">
      <c r="A11" s="36"/>
      <c r="B11" s="40"/>
      <c r="C11" s="33"/>
      <c r="D11" s="33"/>
      <c r="E11" s="33"/>
      <c r="H11" s="41" t="s">
        <v>31</v>
      </c>
      <c r="I11" s="42">
        <v>0.46899299999999999</v>
      </c>
      <c r="J11" s="42">
        <v>9.9851999999999996E-2</v>
      </c>
      <c r="K11" s="42">
        <v>7.7409999999999996E-3</v>
      </c>
      <c r="L11" s="42">
        <v>7.5370000000000003E-3</v>
      </c>
      <c r="M11" s="42">
        <v>0.100435</v>
      </c>
      <c r="N11" s="43">
        <v>1.4300799999999999E-18</v>
      </c>
      <c r="O11" s="43">
        <v>3.1875099999999998E-19</v>
      </c>
      <c r="P11" s="43">
        <v>2.4710800000000001E-20</v>
      </c>
      <c r="Q11" s="43">
        <v>2.4059899999999999E-20</v>
      </c>
      <c r="R11" s="43">
        <v>3.2061099999999998E-19</v>
      </c>
    </row>
    <row r="12" spans="1:18" x14ac:dyDescent="0.2">
      <c r="A12" s="25" t="s">
        <v>12</v>
      </c>
      <c r="B12" s="24">
        <f>K6</f>
        <v>7.6949999999999996E-3</v>
      </c>
      <c r="C12" s="22">
        <f>K12</f>
        <v>6.8310000000000003E-3</v>
      </c>
      <c r="D12" s="22">
        <f>K18</f>
        <v>1.1578E-2</v>
      </c>
      <c r="E12" s="22">
        <f>K24</f>
        <v>9.6930000000000002E-3</v>
      </c>
      <c r="F12" s="1">
        <f>SQRT(B14^2+C14^2+D14^2+E14^2)/4</f>
        <v>8.5848174442298506E-3</v>
      </c>
      <c r="H12" s="41" t="s">
        <v>32</v>
      </c>
      <c r="I12" s="42">
        <v>0.42096299999999998</v>
      </c>
      <c r="J12" s="42">
        <v>6.8843000000000001E-2</v>
      </c>
      <c r="K12" s="42">
        <v>6.8310000000000003E-3</v>
      </c>
      <c r="L12" s="42">
        <v>7.5370000000000003E-3</v>
      </c>
      <c r="M12" s="42">
        <v>6.9589999999999999E-2</v>
      </c>
      <c r="N12" s="43">
        <v>1.2767600000000001E-18</v>
      </c>
      <c r="O12" s="43">
        <v>2.1976199999999999E-19</v>
      </c>
      <c r="P12" s="43">
        <v>2.1807E-20</v>
      </c>
      <c r="Q12" s="43">
        <v>2.4059899999999999E-20</v>
      </c>
      <c r="R12" s="43">
        <v>2.2214800000000002E-19</v>
      </c>
    </row>
    <row r="13" spans="1:18" x14ac:dyDescent="0.2">
      <c r="A13" s="25" t="s">
        <v>9</v>
      </c>
      <c r="B13" s="24">
        <f>P6</f>
        <v>2.45649E-20</v>
      </c>
      <c r="C13" s="24">
        <f>P12</f>
        <v>2.1807E-20</v>
      </c>
      <c r="D13" s="24">
        <f>P18</f>
        <v>3.6958099999999998E-20</v>
      </c>
      <c r="E13" s="24">
        <f>P24</f>
        <v>3.0941599999999999E-20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1.7600667774848103E-2</v>
      </c>
      <c r="C14" s="28">
        <f>C13/C2</f>
        <v>1.7079952379460507E-2</v>
      </c>
      <c r="D14" s="28">
        <f>D13/D2</f>
        <v>1.6845998869582657E-2</v>
      </c>
      <c r="E14" s="28">
        <f>E13/E2</f>
        <v>1.7143205403099354E-2</v>
      </c>
      <c r="F14" s="3">
        <f>SQRT(B16^2+C16^2+D16^2+E16^2)/4</f>
        <v>3.1909097822956381E-2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52</v>
      </c>
      <c r="B16" s="22">
        <f>J6</f>
        <v>8.0547999999999995E-2</v>
      </c>
      <c r="C16" s="22">
        <f>J12</f>
        <v>6.8843000000000001E-2</v>
      </c>
      <c r="D16" s="22">
        <f>J18</f>
        <v>5.7750000000000003E-2</v>
      </c>
      <c r="E16" s="22">
        <f>J24</f>
        <v>4.1577000000000003E-2</v>
      </c>
      <c r="F16" s="1">
        <f>SQRT(B18^2+C18^2+D18^2+E18^2)/4</f>
        <v>6.893649549188427E-2</v>
      </c>
      <c r="H16" t="s">
        <v>30</v>
      </c>
      <c r="I16">
        <v>0.69755699999999998</v>
      </c>
      <c r="J16">
        <v>7.9378000000000004E-2</v>
      </c>
      <c r="K16">
        <v>1.1298000000000001E-2</v>
      </c>
      <c r="L16">
        <v>7.5810000000000001E-3</v>
      </c>
      <c r="M16">
        <v>8.0534999999999995E-2</v>
      </c>
      <c r="N16" s="1">
        <v>2.13937E-18</v>
      </c>
      <c r="O16" s="1">
        <v>2.53391E-19</v>
      </c>
      <c r="P16" s="1">
        <v>3.6065799999999998E-20</v>
      </c>
      <c r="Q16" s="1">
        <v>2.4200900000000001E-20</v>
      </c>
      <c r="R16" s="1">
        <v>2.57087E-19</v>
      </c>
    </row>
    <row r="17" spans="1:18" x14ac:dyDescent="0.2">
      <c r="A17" s="25" t="s">
        <v>53</v>
      </c>
      <c r="B17" s="24">
        <f>O6</f>
        <v>2.5712599999999998E-19</v>
      </c>
      <c r="C17" s="24">
        <f>O12</f>
        <v>2.1976199999999999E-19</v>
      </c>
      <c r="D17" s="24">
        <f>O18</f>
        <v>1.8435000000000001E-19</v>
      </c>
      <c r="E17" s="24">
        <f>O24</f>
        <v>1.32722E-19</v>
      </c>
      <c r="F17" s="1">
        <f>SQRT(B19^2+C19^2+D19^2+E19^2)/4</f>
        <v>0</v>
      </c>
      <c r="H17" t="s">
        <v>31</v>
      </c>
      <c r="I17">
        <v>0.73346999999999996</v>
      </c>
      <c r="J17">
        <v>8.4167000000000006E-2</v>
      </c>
      <c r="K17">
        <v>1.1897E-2</v>
      </c>
      <c r="L17">
        <v>7.5810000000000001E-3</v>
      </c>
      <c r="M17">
        <v>8.5341E-2</v>
      </c>
      <c r="N17" s="1">
        <v>2.2540099999999998E-18</v>
      </c>
      <c r="O17" s="1">
        <v>2.6867900000000001E-19</v>
      </c>
      <c r="P17" s="1">
        <v>3.7977600000000002E-20</v>
      </c>
      <c r="Q17" s="1">
        <v>2.4200900000000001E-20</v>
      </c>
      <c r="R17" s="1">
        <v>2.72427E-19</v>
      </c>
    </row>
    <row r="18" spans="1:18" x14ac:dyDescent="0.2">
      <c r="A18" s="20" t="s">
        <v>54</v>
      </c>
      <c r="B18" s="23">
        <f>B17/B2</f>
        <v>0.18422990943482745</v>
      </c>
      <c r="C18" s="23">
        <f>C17/C2</f>
        <v>0.1721247532817444</v>
      </c>
      <c r="D18" s="28">
        <f>D17/D2</f>
        <v>8.4029208525534665E-2</v>
      </c>
      <c r="E18" s="28">
        <f>E17/E2</f>
        <v>7.3534675243366626E-2</v>
      </c>
      <c r="F18" s="3">
        <f>SQRT(B20^2+C20^2+D20^2+E20^2)/4</f>
        <v>0</v>
      </c>
      <c r="H18" t="s">
        <v>32</v>
      </c>
      <c r="I18">
        <v>0.71463399999999999</v>
      </c>
      <c r="J18">
        <v>5.7750000000000003E-2</v>
      </c>
      <c r="K18">
        <v>1.1578E-2</v>
      </c>
      <c r="L18">
        <v>7.5810000000000001E-3</v>
      </c>
      <c r="M18">
        <v>5.9385E-2</v>
      </c>
      <c r="N18" s="1">
        <v>2.1938800000000001E-18</v>
      </c>
      <c r="O18" s="1">
        <v>1.8435000000000001E-19</v>
      </c>
      <c r="P18" s="1">
        <v>3.6958099999999998E-20</v>
      </c>
      <c r="Q18" s="1">
        <v>2.4200900000000001E-20</v>
      </c>
      <c r="R18" s="1">
        <v>1.8957E-19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2.5917318160492607E-19</v>
      </c>
      <c r="C21" s="22">
        <f>SQRT(C17^2+C13^2+C9^2)</f>
        <v>2.2214806026839396E-19</v>
      </c>
      <c r="D21" s="22">
        <f>SQRT(D17^2+D13^2+D9^2)</f>
        <v>1.8956926759477655E-19</v>
      </c>
      <c r="E21" s="22">
        <f>SQRT(E17^2+E13^2+E9^2)</f>
        <v>1.3857517540227036E-19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0.18569670813146716</v>
      </c>
      <c r="C22" s="23">
        <f>C21/C2</f>
        <v>0.17399359336789524</v>
      </c>
      <c r="D22" s="23">
        <f>D21/D2</f>
        <v>8.6408220866581828E-2</v>
      </c>
      <c r="E22" s="28">
        <f>E21/E2</f>
        <v>7.6777629330469083E-2</v>
      </c>
      <c r="H22" t="s">
        <v>30</v>
      </c>
      <c r="I22">
        <v>0.59759799999999996</v>
      </c>
      <c r="J22">
        <v>5.6873E-2</v>
      </c>
      <c r="K22">
        <v>9.6799999999999994E-3</v>
      </c>
      <c r="L22">
        <v>7.8659999999999997E-3</v>
      </c>
      <c r="M22">
        <v>5.8224999999999999E-2</v>
      </c>
      <c r="N22" s="1">
        <v>1.8073499999999999E-18</v>
      </c>
      <c r="O22" s="1">
        <v>1.8155299999999999E-19</v>
      </c>
      <c r="P22" s="1">
        <v>3.0899100000000001E-20</v>
      </c>
      <c r="Q22" s="1">
        <v>2.5111099999999999E-20</v>
      </c>
      <c r="R22" s="1">
        <v>1.8586699999999999E-19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0.59603399999999995</v>
      </c>
      <c r="J23">
        <v>6.0927000000000002E-2</v>
      </c>
      <c r="K23">
        <v>9.7529999999999995E-3</v>
      </c>
      <c r="L23">
        <v>7.8659999999999997E-3</v>
      </c>
      <c r="M23">
        <v>6.2202E-2</v>
      </c>
      <c r="N23" s="1">
        <v>1.80236E-18</v>
      </c>
      <c r="O23" s="1">
        <v>1.94493E-19</v>
      </c>
      <c r="P23" s="1">
        <v>3.1134100000000002E-20</v>
      </c>
      <c r="Q23" s="1">
        <v>2.5111099999999999E-20</v>
      </c>
      <c r="R23" s="1">
        <v>1.98564E-19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0.59682500000000005</v>
      </c>
      <c r="J24">
        <v>4.1577000000000003E-2</v>
      </c>
      <c r="K24">
        <v>9.6930000000000002E-3</v>
      </c>
      <c r="L24">
        <v>7.8659999999999997E-3</v>
      </c>
      <c r="M24">
        <v>4.3409999999999997E-2</v>
      </c>
      <c r="N24" s="1">
        <v>1.8048900000000002E-18</v>
      </c>
      <c r="O24" s="1">
        <v>1.32722E-19</v>
      </c>
      <c r="P24" s="1">
        <v>3.0941599999999999E-20</v>
      </c>
      <c r="Q24" s="1">
        <v>2.5111099999999999E-20</v>
      </c>
      <c r="R24" s="1">
        <v>1.38575E-19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-1.8160492604540383E-25</v>
      </c>
      <c r="C26" s="1">
        <f>C3-C21</f>
        <v>-6.0268393935454527E-26</v>
      </c>
      <c r="D26" s="1">
        <f>D3-D21</f>
        <v>7.3240522344635355E-25</v>
      </c>
      <c r="E26" s="1">
        <f>E3-E21</f>
        <v>-1.7540227036094284E-25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94925-A506-0B4B-AB86-443EF5CF787E}">
  <dimension ref="A1:R29"/>
  <sheetViews>
    <sheetView zoomScale="140" zoomScaleNormal="140" workbookViewId="0">
      <selection activeCell="A16" sqref="A16:A18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1.3716199999999999E-18</v>
      </c>
      <c r="C2" s="22">
        <f>N12</f>
        <v>1.2505999999999999E-18</v>
      </c>
      <c r="D2" s="22">
        <f>N18</f>
        <v>2.0878699999999999E-18</v>
      </c>
      <c r="E2" s="22">
        <f>N24</f>
        <v>1.7157500000000001E-18</v>
      </c>
      <c r="F2" s="1">
        <f>SQRT(B2^2+C2^2+D2^2+E2^2)/4</f>
        <v>8.1961656369762313E-19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2.6768599999999998E-19</v>
      </c>
      <c r="C3" s="24">
        <f>R12</f>
        <v>2.3019399999999998E-19</v>
      </c>
      <c r="D3" s="24">
        <f>R18</f>
        <v>2.2956400000000002E-19</v>
      </c>
      <c r="E3" s="24">
        <f>R24</f>
        <v>1.7748999999999999E-19</v>
      </c>
      <c r="F3" s="1">
        <f t="shared" ref="F3:F4" si="0">SQRT(B3^2+C3^2+D3^2+E3^2)/4</f>
        <v>1.1424956302651664E-19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0.19516046718478877</v>
      </c>
      <c r="C4" s="23">
        <f t="shared" ref="C4:E4" si="1">C3/C2</f>
        <v>0.18406684791300176</v>
      </c>
      <c r="D4" s="23">
        <f t="shared" si="1"/>
        <v>0.10995129007074196</v>
      </c>
      <c r="E4" s="28">
        <f t="shared" si="1"/>
        <v>0.1034474719510418</v>
      </c>
      <c r="F4" s="1">
        <f t="shared" si="0"/>
        <v>7.6957325063024037E-2</v>
      </c>
      <c r="H4" t="s">
        <v>30</v>
      </c>
      <c r="I4">
        <v>0.58867899999999995</v>
      </c>
      <c r="J4">
        <v>0.100137</v>
      </c>
      <c r="K4">
        <v>5.0874000000000003E-2</v>
      </c>
      <c r="L4">
        <v>6.6709999999999998E-3</v>
      </c>
      <c r="M4">
        <v>0.11251700000000001</v>
      </c>
      <c r="N4" s="1">
        <v>1.8142800000000002E-18</v>
      </c>
      <c r="O4" s="1">
        <v>3.1965900000000001E-19</v>
      </c>
      <c r="P4" s="1">
        <v>1.6240099999999999E-19</v>
      </c>
      <c r="Q4" s="1">
        <v>2.1296100000000001E-20</v>
      </c>
      <c r="R4" s="1">
        <v>3.5917799999999999E-19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0.28348800000000002</v>
      </c>
      <c r="J5">
        <v>0.118798</v>
      </c>
      <c r="K5">
        <v>8.4625000000000006E-2</v>
      </c>
      <c r="L5">
        <v>6.6709999999999998E-3</v>
      </c>
      <c r="M5">
        <v>0.14601</v>
      </c>
      <c r="N5" s="1">
        <v>8.4004500000000004E-19</v>
      </c>
      <c r="O5" s="1">
        <v>3.7923000000000001E-19</v>
      </c>
      <c r="P5" s="1">
        <v>2.7014200000000002E-19</v>
      </c>
      <c r="Q5" s="1">
        <v>2.1296100000000001E-20</v>
      </c>
      <c r="R5" s="1">
        <v>4.6609699999999999E-19</v>
      </c>
    </row>
    <row r="6" spans="1:18" x14ac:dyDescent="0.2">
      <c r="A6" s="39" t="s">
        <v>21</v>
      </c>
      <c r="E6" s="38"/>
      <c r="F6" s="1"/>
      <c r="H6" t="s">
        <v>32</v>
      </c>
      <c r="I6">
        <v>0.45000800000000002</v>
      </c>
      <c r="J6">
        <v>7.7165999999999998E-2</v>
      </c>
      <c r="K6">
        <v>3.2134999999999997E-2</v>
      </c>
      <c r="L6">
        <v>6.6709999999999998E-3</v>
      </c>
      <c r="M6">
        <v>8.3856E-2</v>
      </c>
      <c r="N6" s="1">
        <v>1.3716199999999999E-18</v>
      </c>
      <c r="O6" s="1">
        <v>2.4633200000000002E-19</v>
      </c>
      <c r="P6" s="1">
        <v>1.0258099999999999E-19</v>
      </c>
      <c r="Q6" s="1">
        <v>2.1296100000000001E-20</v>
      </c>
      <c r="R6" s="1">
        <v>2.6768599999999998E-19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7.7449531752074984E-3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1.5526239045799858E-2</v>
      </c>
      <c r="C10" s="28">
        <f>C9/C2</f>
        <v>1.9238685430993125E-2</v>
      </c>
      <c r="D10" s="28">
        <f>D9/D2</f>
        <v>1.1591191022429559E-2</v>
      </c>
      <c r="E10" s="28">
        <f>E9/E2</f>
        <v>1.463564039049978E-2</v>
      </c>
      <c r="F10" s="3">
        <f>SQRT(B12^2+C12^2+D12^2+E12^2)/4</f>
        <v>1.8241930404291097E-2</v>
      </c>
      <c r="H10" t="s">
        <v>30</v>
      </c>
      <c r="I10">
        <v>0.33917000000000003</v>
      </c>
      <c r="J10">
        <v>8.5524000000000003E-2</v>
      </c>
      <c r="K10">
        <v>2.9915000000000001E-2</v>
      </c>
      <c r="L10">
        <v>7.5370000000000003E-3</v>
      </c>
      <c r="M10">
        <v>9.0917999999999999E-2</v>
      </c>
      <c r="N10" s="1">
        <v>1.01566E-18</v>
      </c>
      <c r="O10" s="1">
        <v>2.7301300000000002E-19</v>
      </c>
      <c r="P10" s="1">
        <v>9.5494899999999998E-20</v>
      </c>
      <c r="Q10" s="1">
        <v>2.4059899999999999E-20</v>
      </c>
      <c r="R10" s="1">
        <v>2.9023099999999999E-19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0.47983799999999999</v>
      </c>
      <c r="J11">
        <v>0.10159700000000001</v>
      </c>
      <c r="K11">
        <v>0.10042</v>
      </c>
      <c r="L11">
        <v>7.5370000000000003E-3</v>
      </c>
      <c r="M11">
        <v>0.14304900000000001</v>
      </c>
      <c r="N11" s="1">
        <v>1.4647E-18</v>
      </c>
      <c r="O11" s="1">
        <v>3.2432199999999998E-19</v>
      </c>
      <c r="P11" s="1">
        <v>3.2056200000000002E-19</v>
      </c>
      <c r="Q11" s="1">
        <v>2.4059899999999999E-20</v>
      </c>
      <c r="R11" s="1">
        <v>4.5664400000000003E-19</v>
      </c>
    </row>
    <row r="12" spans="1:18" x14ac:dyDescent="0.2">
      <c r="A12" s="25" t="s">
        <v>12</v>
      </c>
      <c r="B12" s="24">
        <f>K6</f>
        <v>3.2134999999999997E-2</v>
      </c>
      <c r="C12" s="22">
        <f>K12</f>
        <v>2.8178000000000002E-2</v>
      </c>
      <c r="D12" s="22">
        <f>K18</f>
        <v>4.5317000000000003E-2</v>
      </c>
      <c r="E12" s="22">
        <f>K24</f>
        <v>3.7999999999999999E-2</v>
      </c>
      <c r="F12" s="1">
        <f>SQRT(B14^2+C14^2+D14^2+E14^2)/4</f>
        <v>3.5851933763461574E-2</v>
      </c>
      <c r="H12" t="s">
        <v>32</v>
      </c>
      <c r="I12">
        <v>0.412769</v>
      </c>
      <c r="J12">
        <v>6.5948000000000007E-2</v>
      </c>
      <c r="K12">
        <v>2.8178000000000002E-2</v>
      </c>
      <c r="L12">
        <v>7.5370000000000003E-3</v>
      </c>
      <c r="M12">
        <v>7.2110999999999995E-2</v>
      </c>
      <c r="N12" s="1">
        <v>1.2505999999999999E-18</v>
      </c>
      <c r="O12" s="1">
        <v>2.1052100000000001E-19</v>
      </c>
      <c r="P12" s="1">
        <v>8.9950100000000005E-20</v>
      </c>
      <c r="Q12" s="1">
        <v>2.4059899999999999E-20</v>
      </c>
      <c r="R12" s="1">
        <v>2.3019399999999998E-19</v>
      </c>
    </row>
    <row r="13" spans="1:18" x14ac:dyDescent="0.2">
      <c r="A13" s="25" t="s">
        <v>9</v>
      </c>
      <c r="B13" s="24">
        <f>P6</f>
        <v>1.0258099999999999E-19</v>
      </c>
      <c r="C13" s="24">
        <f>P12</f>
        <v>8.9950100000000005E-20</v>
      </c>
      <c r="D13" s="24">
        <f>P18</f>
        <v>1.4466100000000001E-19</v>
      </c>
      <c r="E13" s="24">
        <f>P24</f>
        <v>1.21305E-19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7.4788206646155639E-2</v>
      </c>
      <c r="C14" s="28">
        <f>C13/C2</f>
        <v>7.1925555733248048E-2</v>
      </c>
      <c r="D14" s="28">
        <f>D13/D2</f>
        <v>6.928640193115472E-2</v>
      </c>
      <c r="E14" s="28">
        <f>E13/E2</f>
        <v>7.070085968235465E-2</v>
      </c>
      <c r="F14" s="3">
        <f>SQRT(B16^2+C16^2+D16^2+E16^2)/4</f>
        <v>3.0567350540445928E-2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52</v>
      </c>
      <c r="B16" s="22">
        <f>J6</f>
        <v>7.7165999999999998E-2</v>
      </c>
      <c r="C16" s="22">
        <f>J12</f>
        <v>6.5948000000000007E-2</v>
      </c>
      <c r="D16" s="22">
        <f>J18</f>
        <v>5.5322000000000003E-2</v>
      </c>
      <c r="E16" s="22">
        <f>J24</f>
        <v>3.9819E-2</v>
      </c>
      <c r="F16" s="1">
        <f>SQRT(B18^2+C18^2+D18^2+E18^2)/4</f>
        <v>6.765408262312525E-2</v>
      </c>
      <c r="H16" t="s">
        <v>30</v>
      </c>
      <c r="I16">
        <v>0.61221400000000004</v>
      </c>
      <c r="J16">
        <v>7.1391999999999997E-2</v>
      </c>
      <c r="K16">
        <v>5.1575000000000003E-2</v>
      </c>
      <c r="L16">
        <v>7.5810000000000001E-3</v>
      </c>
      <c r="M16">
        <v>8.8399000000000005E-2</v>
      </c>
      <c r="N16" s="1">
        <v>1.86693E-18</v>
      </c>
      <c r="O16" s="1">
        <v>2.2790000000000001E-19</v>
      </c>
      <c r="P16" s="1">
        <v>1.64639E-19</v>
      </c>
      <c r="Q16" s="1">
        <v>2.4200900000000001E-20</v>
      </c>
      <c r="R16" s="1">
        <v>2.8218800000000001E-19</v>
      </c>
    </row>
    <row r="17" spans="1:18" x14ac:dyDescent="0.2">
      <c r="A17" s="25" t="s">
        <v>53</v>
      </c>
      <c r="B17" s="24">
        <f>O6</f>
        <v>2.4633200000000002E-19</v>
      </c>
      <c r="C17" s="24">
        <f>O12</f>
        <v>2.1052100000000001E-19</v>
      </c>
      <c r="D17" s="24">
        <f>O18</f>
        <v>1.76599E-19</v>
      </c>
      <c r="E17" s="24">
        <f>O24</f>
        <v>1.27111E-19</v>
      </c>
      <c r="F17" s="1">
        <f>SQRT(B19^2+C19^2+D19^2+E19^2)/4</f>
        <v>0</v>
      </c>
      <c r="H17" t="s">
        <v>31</v>
      </c>
      <c r="I17">
        <v>0.75249699999999997</v>
      </c>
      <c r="J17">
        <v>8.5708999999999994E-2</v>
      </c>
      <c r="K17">
        <v>0.116412</v>
      </c>
      <c r="L17">
        <v>7.5810000000000001E-3</v>
      </c>
      <c r="M17">
        <v>0.14476</v>
      </c>
      <c r="N17" s="1">
        <v>2.31475E-18</v>
      </c>
      <c r="O17" s="1">
        <v>2.7360300000000001E-19</v>
      </c>
      <c r="P17" s="1">
        <v>3.7161400000000001E-19</v>
      </c>
      <c r="Q17" s="1">
        <v>2.4200900000000001E-20</v>
      </c>
      <c r="R17" s="1">
        <v>4.62105E-19</v>
      </c>
    </row>
    <row r="18" spans="1:18" x14ac:dyDescent="0.2">
      <c r="A18" s="20" t="s">
        <v>54</v>
      </c>
      <c r="B18" s="23">
        <f>B17/B2</f>
        <v>0.17959201528120036</v>
      </c>
      <c r="C18" s="23">
        <f>C17/C2</f>
        <v>0.16833599872061414</v>
      </c>
      <c r="D18" s="28">
        <f>D17/D2</f>
        <v>8.4583331337679077E-2</v>
      </c>
      <c r="E18" s="28">
        <f>E17/E2</f>
        <v>7.4084802564476179E-2</v>
      </c>
      <c r="F18" s="3">
        <f>SQRT(B20^2+C20^2+D20^2+E20^2)/4</f>
        <v>0</v>
      </c>
      <c r="H18" t="s">
        <v>32</v>
      </c>
      <c r="I18">
        <v>0.68142400000000003</v>
      </c>
      <c r="J18">
        <v>5.5322000000000003E-2</v>
      </c>
      <c r="K18">
        <v>4.5317000000000003E-2</v>
      </c>
      <c r="L18">
        <v>7.5810000000000001E-3</v>
      </c>
      <c r="M18">
        <v>7.1914000000000006E-2</v>
      </c>
      <c r="N18" s="1">
        <v>2.0878699999999999E-18</v>
      </c>
      <c r="O18" s="1">
        <v>1.76599E-19</v>
      </c>
      <c r="P18" s="1">
        <v>1.4466100000000001E-19</v>
      </c>
      <c r="Q18" s="1">
        <v>2.4200900000000001E-20</v>
      </c>
      <c r="R18" s="1">
        <v>2.2956400000000002E-19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2.6768608417362678E-19</v>
      </c>
      <c r="C21" s="22">
        <f>SQRT(C17^2+C13^2+C9^2)</f>
        <v>2.3019337679225268E-19</v>
      </c>
      <c r="D21" s="22">
        <f>SQRT(D17^2+D13^2+D9^2)</f>
        <v>2.2956414197955653E-19</v>
      </c>
      <c r="E21" s="22">
        <f>SQRT(E17^2+E13^2+E9^2)</f>
        <v>1.7748993405038497E-19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0.1951605285528257</v>
      </c>
      <c r="C22" s="23">
        <f>C21/C2</f>
        <v>0.18406634958600088</v>
      </c>
      <c r="D22" s="23">
        <f>D21/D2</f>
        <v>0.1099513580728477</v>
      </c>
      <c r="E22" s="28">
        <f>E21/E2</f>
        <v>0.10344743351326531</v>
      </c>
      <c r="H22" t="s">
        <v>30</v>
      </c>
      <c r="I22">
        <v>0.53028699999999995</v>
      </c>
      <c r="J22">
        <v>5.1131000000000003E-2</v>
      </c>
      <c r="K22">
        <v>4.5518999999999997E-2</v>
      </c>
      <c r="L22">
        <v>7.8659999999999997E-3</v>
      </c>
      <c r="M22">
        <v>6.8906999999999996E-2</v>
      </c>
      <c r="N22" s="1">
        <v>1.5924799999999999E-18</v>
      </c>
      <c r="O22" s="1">
        <v>1.6322000000000001E-19</v>
      </c>
      <c r="P22" s="1">
        <v>1.4530599999999999E-19</v>
      </c>
      <c r="Q22" s="1">
        <v>2.5111099999999999E-20</v>
      </c>
      <c r="R22" s="1">
        <v>2.1996600000000002E-19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0.61167099999999996</v>
      </c>
      <c r="J23">
        <v>6.2063E-2</v>
      </c>
      <c r="K23">
        <v>0.10617799999999999</v>
      </c>
      <c r="L23">
        <v>7.8659999999999997E-3</v>
      </c>
      <c r="M23">
        <v>0.123238</v>
      </c>
      <c r="N23" s="1">
        <v>1.8522799999999999E-18</v>
      </c>
      <c r="O23" s="1">
        <v>1.9811999999999999E-19</v>
      </c>
      <c r="P23" s="1">
        <v>3.3894500000000002E-19</v>
      </c>
      <c r="Q23" s="1">
        <v>2.5111099999999999E-20</v>
      </c>
      <c r="R23" s="1">
        <v>3.9340299999999999E-19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0.56890099999999999</v>
      </c>
      <c r="J24">
        <v>3.9819E-2</v>
      </c>
      <c r="K24">
        <v>3.7999999999999999E-2</v>
      </c>
      <c r="L24">
        <v>7.8659999999999997E-3</v>
      </c>
      <c r="M24">
        <v>5.5600999999999998E-2</v>
      </c>
      <c r="N24" s="1">
        <v>1.7157500000000001E-18</v>
      </c>
      <c r="O24" s="1">
        <v>1.27111E-19</v>
      </c>
      <c r="P24" s="1">
        <v>1.21305E-19</v>
      </c>
      <c r="Q24" s="1">
        <v>2.5111099999999999E-20</v>
      </c>
      <c r="R24" s="1">
        <v>1.7748999999999999E-19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-8.4173626799013351E-26</v>
      </c>
      <c r="C26" s="1">
        <f>C3-C21</f>
        <v>6.2320774729607944E-25</v>
      </c>
      <c r="D26" s="1">
        <f>D3-D21</f>
        <v>-1.4197955651134025E-25</v>
      </c>
      <c r="E26" s="1">
        <f>E3-E21</f>
        <v>6.594961501712511E-26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5A833-57C4-DC4E-AC5C-0BDB90378BCB}">
  <dimension ref="A1:R29"/>
  <sheetViews>
    <sheetView zoomScale="140" zoomScaleNormal="140" workbookViewId="0">
      <selection activeCell="R24" sqref="H2:R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1.49629E-18</v>
      </c>
      <c r="C2" s="22">
        <f>N12</f>
        <v>1.37313E-18</v>
      </c>
      <c r="D2" s="22">
        <f>N18</f>
        <v>2.2958900000000001E-18</v>
      </c>
      <c r="E2" s="22">
        <f>N24</f>
        <v>1.8930599999999998E-18</v>
      </c>
      <c r="F2" s="1">
        <f>SQRT(B2^2+C2^2+D2^2+E2^2)/4</f>
        <v>9.0066492162388003E-19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2.8764699999999999E-19</v>
      </c>
      <c r="C3" s="24">
        <f>R12</f>
        <v>2.4680000000000001E-19</v>
      </c>
      <c r="D3" s="24">
        <f>R18</f>
        <v>2.3704400000000001E-19</v>
      </c>
      <c r="E3" s="24">
        <f>R24</f>
        <v>1.8167600000000001E-19</v>
      </c>
      <c r="F3" s="1">
        <f t="shared" ref="F3:F4" si="0">SQRT(B3^2+C3^2+D3^2+E3^2)/4</f>
        <v>1.2063557298766603E-19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0.19224014061445308</v>
      </c>
      <c r="C4" s="23">
        <f t="shared" ref="C4:E4" si="1">C3/C2</f>
        <v>0.17973534916577455</v>
      </c>
      <c r="D4" s="23">
        <f t="shared" si="1"/>
        <v>0.10324710678647496</v>
      </c>
      <c r="E4" s="28">
        <f t="shared" si="1"/>
        <v>9.5969488552924906E-2</v>
      </c>
      <c r="F4" s="1">
        <f t="shared" si="0"/>
        <v>7.4637111745806173E-2</v>
      </c>
      <c r="H4" t="s">
        <v>30</v>
      </c>
      <c r="I4">
        <v>0.654451</v>
      </c>
      <c r="J4">
        <v>0.111583</v>
      </c>
      <c r="K4">
        <v>4.8462999999999999E-2</v>
      </c>
      <c r="L4">
        <v>6.6709999999999998E-3</v>
      </c>
      <c r="M4">
        <v>0.121836</v>
      </c>
      <c r="N4" s="1">
        <v>2.0242400000000001E-18</v>
      </c>
      <c r="O4" s="1">
        <v>3.5619899999999999E-19</v>
      </c>
      <c r="P4" s="1">
        <v>1.54705E-19</v>
      </c>
      <c r="Q4" s="1">
        <v>2.1296100000000001E-20</v>
      </c>
      <c r="R4" s="1">
        <v>3.8892800000000001E-19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0.30299100000000001</v>
      </c>
      <c r="J5">
        <v>0.126971</v>
      </c>
      <c r="K5">
        <v>5.0055000000000002E-2</v>
      </c>
      <c r="L5">
        <v>6.6709999999999998E-3</v>
      </c>
      <c r="M5">
        <v>0.13664499999999999</v>
      </c>
      <c r="N5" s="1">
        <v>9.0230500000000007E-19</v>
      </c>
      <c r="O5" s="1">
        <v>4.0532099999999998E-19</v>
      </c>
      <c r="P5" s="1">
        <v>1.5978799999999999E-19</v>
      </c>
      <c r="Q5" s="1">
        <v>2.1296100000000001E-20</v>
      </c>
      <c r="R5" s="1">
        <v>4.3620000000000004E-19</v>
      </c>
    </row>
    <row r="6" spans="1:18" x14ac:dyDescent="0.2">
      <c r="A6" s="39" t="s">
        <v>21</v>
      </c>
      <c r="E6" s="38"/>
      <c r="F6" s="1"/>
      <c r="H6" t="s">
        <v>32</v>
      </c>
      <c r="I6">
        <v>0.489064</v>
      </c>
      <c r="J6">
        <v>8.4459999999999993E-2</v>
      </c>
      <c r="K6">
        <v>3.0686000000000001E-2</v>
      </c>
      <c r="L6">
        <v>6.6709999999999998E-3</v>
      </c>
      <c r="M6">
        <v>9.0108999999999995E-2</v>
      </c>
      <c r="N6" s="1">
        <v>1.49629E-18</v>
      </c>
      <c r="O6" s="1">
        <v>2.69614E-19</v>
      </c>
      <c r="P6" s="1">
        <v>9.7956499999999994E-20</v>
      </c>
      <c r="Q6" s="1">
        <v>2.1296100000000001E-20</v>
      </c>
      <c r="R6" s="1">
        <v>2.8764699999999999E-19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7.0562593169518437E-3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1.4232601968869671E-2</v>
      </c>
      <c r="C10" s="28">
        <f>C9/C2</f>
        <v>1.7521938927850967E-2</v>
      </c>
      <c r="D10" s="28">
        <f>D9/D2</f>
        <v>1.0540966683943918E-2</v>
      </c>
      <c r="E10" s="28">
        <f>E9/E2</f>
        <v>1.3264819921185805E-2</v>
      </c>
      <c r="F10" s="3">
        <f>SQRT(B12^2+C12^2+D12^2+E12^2)/4</f>
        <v>1.7168382695379316E-2</v>
      </c>
      <c r="H10" t="s">
        <v>30</v>
      </c>
      <c r="I10">
        <v>0.37874000000000002</v>
      </c>
      <c r="J10">
        <v>9.5302999999999999E-2</v>
      </c>
      <c r="K10">
        <v>2.8292999999999999E-2</v>
      </c>
      <c r="L10">
        <v>7.5370000000000003E-3</v>
      </c>
      <c r="M10">
        <v>9.9699999999999997E-2</v>
      </c>
      <c r="N10" s="1">
        <v>1.14197E-18</v>
      </c>
      <c r="O10" s="1">
        <v>3.0422899999999999E-19</v>
      </c>
      <c r="P10" s="1">
        <v>9.0318600000000001E-20</v>
      </c>
      <c r="Q10" s="1">
        <v>2.4059899999999999E-20</v>
      </c>
      <c r="R10" s="1">
        <v>3.1826299999999998E-19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0.51285000000000003</v>
      </c>
      <c r="J11">
        <v>0.108587</v>
      </c>
      <c r="K11">
        <v>5.8909000000000003E-2</v>
      </c>
      <c r="L11">
        <v>7.5370000000000003E-3</v>
      </c>
      <c r="M11">
        <v>0.123767</v>
      </c>
      <c r="N11" s="1">
        <v>1.57008E-18</v>
      </c>
      <c r="O11" s="1">
        <v>3.4663400000000001E-19</v>
      </c>
      <c r="P11" s="1">
        <v>1.88051E-19</v>
      </c>
      <c r="Q11" s="1">
        <v>2.4059899999999999E-20</v>
      </c>
      <c r="R11" s="1">
        <v>3.9509099999999998E-19</v>
      </c>
    </row>
    <row r="12" spans="1:18" x14ac:dyDescent="0.2">
      <c r="A12" s="25" t="s">
        <v>12</v>
      </c>
      <c r="B12" s="24">
        <f>K6</f>
        <v>3.0686000000000001E-2</v>
      </c>
      <c r="C12" s="22">
        <f>K12</f>
        <v>2.6641000000000001E-2</v>
      </c>
      <c r="D12" s="22">
        <f>K18</f>
        <v>4.2286999999999998E-2</v>
      </c>
      <c r="E12" s="22">
        <f>K24</f>
        <v>3.5728000000000003E-2</v>
      </c>
      <c r="F12" s="1">
        <f>SQRT(B14^2+C14^2+D14^2+E14^2)/4</f>
        <v>3.0830559026828703E-2</v>
      </c>
      <c r="H12" t="s">
        <v>32</v>
      </c>
      <c r="I12">
        <v>0.45115100000000002</v>
      </c>
      <c r="J12">
        <v>7.2184999999999999E-2</v>
      </c>
      <c r="K12">
        <v>2.6641000000000001E-2</v>
      </c>
      <c r="L12">
        <v>7.5370000000000003E-3</v>
      </c>
      <c r="M12">
        <v>7.7313000000000007E-2</v>
      </c>
      <c r="N12" s="1">
        <v>1.37313E-18</v>
      </c>
      <c r="O12" s="1">
        <v>2.3043099999999998E-19</v>
      </c>
      <c r="P12" s="1">
        <v>8.5044799999999996E-20</v>
      </c>
      <c r="Q12" s="1">
        <v>2.4059899999999999E-20</v>
      </c>
      <c r="R12" s="1">
        <v>2.4680000000000001E-19</v>
      </c>
    </row>
    <row r="13" spans="1:18" x14ac:dyDescent="0.2">
      <c r="A13" s="25" t="s">
        <v>9</v>
      </c>
      <c r="B13" s="24">
        <f>P6</f>
        <v>9.7956499999999994E-20</v>
      </c>
      <c r="C13" s="24">
        <f>P12</f>
        <v>8.5044799999999996E-20</v>
      </c>
      <c r="D13" s="24">
        <f>P18</f>
        <v>1.3498799999999999E-19</v>
      </c>
      <c r="E13" s="24">
        <f>P24</f>
        <v>1.14051E-19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6.5466253199580299E-2</v>
      </c>
      <c r="C14" s="28">
        <f>C13/C2</f>
        <v>6.1934995229876263E-2</v>
      </c>
      <c r="D14" s="28">
        <f>D13/D2</f>
        <v>5.8795499784397326E-2</v>
      </c>
      <c r="E14" s="28">
        <f>E13/E2</f>
        <v>6.024690184146303E-2</v>
      </c>
      <c r="F14" s="3">
        <f>SQRT(B16^2+C16^2+D16^2+E16^2)/4</f>
        <v>3.3460106530949656E-2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8.4459999999999993E-2</v>
      </c>
      <c r="C16" s="22">
        <f>J12</f>
        <v>7.2184999999999999E-2</v>
      </c>
      <c r="D16" s="22">
        <f>J18</f>
        <v>6.0567999999999997E-2</v>
      </c>
      <c r="E16" s="22">
        <f>J24</f>
        <v>4.3596000000000003E-2</v>
      </c>
      <c r="F16" s="1">
        <f>SQRT(B18^2+C18^2+D18^2+E18^2)/4</f>
        <v>6.7604520390212017E-2</v>
      </c>
      <c r="H16" t="s">
        <v>30</v>
      </c>
      <c r="I16">
        <v>0.683056</v>
      </c>
      <c r="J16">
        <v>7.9561000000000007E-2</v>
      </c>
      <c r="K16">
        <v>4.9695999999999997E-2</v>
      </c>
      <c r="L16">
        <v>7.5810000000000001E-3</v>
      </c>
      <c r="M16">
        <v>9.4112000000000001E-2</v>
      </c>
      <c r="N16" s="1">
        <v>2.0930800000000002E-18</v>
      </c>
      <c r="O16" s="1">
        <v>2.5397600000000002E-19</v>
      </c>
      <c r="P16" s="1">
        <v>1.5863999999999999E-19</v>
      </c>
      <c r="Q16" s="1">
        <v>2.4200900000000001E-20</v>
      </c>
      <c r="R16" s="1">
        <v>3.0042700000000002E-19</v>
      </c>
    </row>
    <row r="17" spans="1:18" x14ac:dyDescent="0.2">
      <c r="A17" s="25" t="s">
        <v>37</v>
      </c>
      <c r="B17" s="24">
        <f>O6</f>
        <v>2.69614E-19</v>
      </c>
      <c r="C17" s="24">
        <f>O12</f>
        <v>2.3043099999999998E-19</v>
      </c>
      <c r="D17" s="24">
        <f>O18</f>
        <v>1.93345E-19</v>
      </c>
      <c r="E17" s="24">
        <f>O24</f>
        <v>1.3916899999999999E-19</v>
      </c>
      <c r="F17" s="1">
        <f>SQRT(B19^2+C19^2+D19^2+E19^2)/4</f>
        <v>0</v>
      </c>
      <c r="H17" t="s">
        <v>31</v>
      </c>
      <c r="I17">
        <v>0.80426799999999998</v>
      </c>
      <c r="J17">
        <v>9.1606000000000007E-2</v>
      </c>
      <c r="K17">
        <v>7.0844000000000004E-2</v>
      </c>
      <c r="L17">
        <v>7.5810000000000001E-3</v>
      </c>
      <c r="M17">
        <v>0.116051</v>
      </c>
      <c r="N17" s="1">
        <v>2.48001E-18</v>
      </c>
      <c r="O17" s="1">
        <v>2.92426E-19</v>
      </c>
      <c r="P17" s="1">
        <v>2.26149E-19</v>
      </c>
      <c r="Q17" s="1">
        <v>2.4200900000000001E-20</v>
      </c>
      <c r="R17" s="1">
        <v>3.7046199999999999E-19</v>
      </c>
    </row>
    <row r="18" spans="1:18" x14ac:dyDescent="0.2">
      <c r="A18" s="20" t="s">
        <v>38</v>
      </c>
      <c r="B18" s="23">
        <f>B17/B2</f>
        <v>0.18018833247565647</v>
      </c>
      <c r="C18" s="23">
        <f>C17/C2</f>
        <v>0.16781440941498618</v>
      </c>
      <c r="D18" s="28">
        <f>D17/D2</f>
        <v>8.4213529393829839E-2</v>
      </c>
      <c r="E18" s="28">
        <f>E17/E2</f>
        <v>7.3515366655045267E-2</v>
      </c>
      <c r="F18" s="3">
        <f>SQRT(B20^2+C20^2+D20^2+E20^2)/4</f>
        <v>0</v>
      </c>
      <c r="H18" t="s">
        <v>32</v>
      </c>
      <c r="I18">
        <v>0.74658800000000003</v>
      </c>
      <c r="J18">
        <v>6.0567999999999997E-2</v>
      </c>
      <c r="K18">
        <v>4.2286999999999998E-2</v>
      </c>
      <c r="L18">
        <v>7.5810000000000001E-3</v>
      </c>
      <c r="M18">
        <v>7.4257000000000004E-2</v>
      </c>
      <c r="N18" s="1">
        <v>2.2958900000000001E-18</v>
      </c>
      <c r="O18" s="1">
        <v>1.93345E-19</v>
      </c>
      <c r="P18" s="1">
        <v>1.3498799999999999E-19</v>
      </c>
      <c r="Q18" s="1">
        <v>2.4200900000000001E-20</v>
      </c>
      <c r="R18" s="1">
        <v>2.3704400000000001E-19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2.8764684730318183E-19</v>
      </c>
      <c r="C21" s="22">
        <f>SQRT(C17^2+C13^2+C9^2)</f>
        <v>2.4679939739806901E-19</v>
      </c>
      <c r="D21" s="22">
        <f>SQRT(D17^2+D13^2+D9^2)</f>
        <v>2.3704373590080372E-19</v>
      </c>
      <c r="E21" s="22">
        <f>SQRT(E17^2+E13^2+E9^2)</f>
        <v>1.8167610879036902E-19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0.19224003856416993</v>
      </c>
      <c r="C22" s="23">
        <f>C21/C2</f>
        <v>0.17973491031298494</v>
      </c>
      <c r="D22" s="23">
        <f>D21/D2</f>
        <v>0.10324699175518152</v>
      </c>
      <c r="E22" s="28">
        <f>E21/E2</f>
        <v>9.596954602092328E-2</v>
      </c>
      <c r="H22" t="s">
        <v>30</v>
      </c>
      <c r="I22">
        <v>0.59173600000000004</v>
      </c>
      <c r="J22">
        <v>5.6980999999999997E-2</v>
      </c>
      <c r="K22">
        <v>4.3527000000000003E-2</v>
      </c>
      <c r="L22">
        <v>7.8659999999999997E-3</v>
      </c>
      <c r="M22">
        <v>7.2134000000000004E-2</v>
      </c>
      <c r="N22" s="1">
        <v>1.78864E-18</v>
      </c>
      <c r="O22" s="1">
        <v>1.81896E-19</v>
      </c>
      <c r="P22" s="1">
        <v>1.3894599999999999E-19</v>
      </c>
      <c r="Q22" s="1">
        <v>2.5111099999999999E-20</v>
      </c>
      <c r="R22" s="1">
        <v>2.3026700000000002E-19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0.653752</v>
      </c>
      <c r="J23">
        <v>6.6333000000000003E-2</v>
      </c>
      <c r="K23">
        <v>6.4299999999999996E-2</v>
      </c>
      <c r="L23">
        <v>7.8659999999999997E-3</v>
      </c>
      <c r="M23">
        <v>9.2716999999999994E-2</v>
      </c>
      <c r="N23" s="1">
        <v>1.98661E-18</v>
      </c>
      <c r="O23" s="1">
        <v>2.1175E-19</v>
      </c>
      <c r="P23" s="1">
        <v>2.0526000000000001E-19</v>
      </c>
      <c r="Q23" s="1">
        <v>2.5111099999999999E-20</v>
      </c>
      <c r="R23" s="1">
        <v>2.9597299999999999E-19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0.62444599999999995</v>
      </c>
      <c r="J24">
        <v>4.3596000000000003E-2</v>
      </c>
      <c r="K24">
        <v>3.5728000000000003E-2</v>
      </c>
      <c r="L24">
        <v>7.8659999999999997E-3</v>
      </c>
      <c r="M24">
        <v>5.6911999999999997E-2</v>
      </c>
      <c r="N24" s="1">
        <v>1.8930599999999998E-18</v>
      </c>
      <c r="O24" s="1">
        <v>1.3916899999999999E-19</v>
      </c>
      <c r="P24" s="1">
        <v>1.14051E-19</v>
      </c>
      <c r="Q24" s="1">
        <v>2.5111099999999999E-20</v>
      </c>
      <c r="R24" s="1">
        <v>1.8167600000000001E-19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1.5269681816184276E-25</v>
      </c>
      <c r="C26" s="1">
        <f>C3-C21</f>
        <v>6.0260193099454558E-25</v>
      </c>
      <c r="D26" s="1">
        <f>D3-D21</f>
        <v>2.6409919629228419E-25</v>
      </c>
      <c r="E26" s="1">
        <f>E3-E21</f>
        <v>-1.0879036901010252E-25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89C22-199B-564C-BB09-6A12BD67C173}">
  <dimension ref="A1:R29"/>
  <sheetViews>
    <sheetView zoomScale="140" zoomScaleNormal="140" workbookViewId="0">
      <selection activeCell="B2" sqref="B2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1.46642E-18</v>
      </c>
      <c r="C2" s="22">
        <f>N12</f>
        <v>1.3471599999999999E-18</v>
      </c>
      <c r="D2" s="22">
        <f>N18</f>
        <v>2.2857000000000001E-18</v>
      </c>
      <c r="E2" s="22">
        <f>N24</f>
        <v>1.88991E-18</v>
      </c>
      <c r="F2" s="1">
        <f>SQRT(B2^2+C2^2+D2^2+E2^2)/4</f>
        <v>8.9307796342550629E-19</v>
      </c>
      <c r="I2" t="s">
        <v>39</v>
      </c>
      <c r="J2" t="s">
        <v>40</v>
      </c>
      <c r="K2" t="s">
        <v>41</v>
      </c>
      <c r="L2" t="s">
        <v>40</v>
      </c>
    </row>
    <row r="3" spans="1:18" x14ac:dyDescent="0.2">
      <c r="A3" s="25" t="s">
        <v>4</v>
      </c>
      <c r="B3" s="24">
        <f>R6</f>
        <v>2.8112400000000002E-19</v>
      </c>
      <c r="C3" s="24">
        <f>R12</f>
        <v>2.4182999999999998E-19</v>
      </c>
      <c r="D3" s="24">
        <f>R18</f>
        <v>2.2777700000000001E-19</v>
      </c>
      <c r="E3" s="24">
        <f>R24</f>
        <v>1.7349099999999999E-19</v>
      </c>
      <c r="F3" s="1">
        <f t="shared" ref="F3:F4" si="0">SQRT(B3^2+C3^2+D3^2+E3^2)/4</f>
        <v>1.1712545119603595E-19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0.19170769629437678</v>
      </c>
      <c r="C4" s="23">
        <f t="shared" ref="C4:E4" si="1">C3/C2</f>
        <v>0.17951097122836188</v>
      </c>
      <c r="D4" s="23">
        <f t="shared" si="1"/>
        <v>9.9653060331627075E-2</v>
      </c>
      <c r="E4" s="28">
        <f t="shared" si="1"/>
        <v>9.1798551253763405E-2</v>
      </c>
      <c r="F4" s="1">
        <f t="shared" si="0"/>
        <v>7.3880704541001221E-2</v>
      </c>
      <c r="H4" t="s">
        <v>30</v>
      </c>
      <c r="I4">
        <v>0.62288500000000002</v>
      </c>
      <c r="J4">
        <v>0.109403</v>
      </c>
      <c r="K4">
        <v>4.5337000000000002E-2</v>
      </c>
      <c r="L4">
        <v>6.6709999999999998E-3</v>
      </c>
      <c r="M4">
        <v>0.118612</v>
      </c>
      <c r="N4" s="1">
        <v>1.92348E-18</v>
      </c>
      <c r="O4" s="1">
        <v>3.4923800000000002E-19</v>
      </c>
      <c r="P4" s="1">
        <v>1.44727E-19</v>
      </c>
      <c r="Q4" s="1">
        <v>2.1296100000000001E-20</v>
      </c>
      <c r="R4" s="1">
        <v>3.7863699999999999E-19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0.30293599999999998</v>
      </c>
      <c r="J5">
        <v>0.12731100000000001</v>
      </c>
      <c r="K5">
        <v>2.3862999999999999E-2</v>
      </c>
      <c r="L5">
        <v>6.6709999999999998E-3</v>
      </c>
      <c r="M5">
        <v>0.12970000000000001</v>
      </c>
      <c r="N5" s="1">
        <v>9.0212999999999999E-19</v>
      </c>
      <c r="O5" s="1">
        <v>4.0640499999999998E-19</v>
      </c>
      <c r="P5" s="1">
        <v>7.6175300000000001E-20</v>
      </c>
      <c r="Q5" s="1">
        <v>2.1296100000000001E-20</v>
      </c>
      <c r="R5" s="1">
        <v>4.1403100000000001E-19</v>
      </c>
    </row>
    <row r="6" spans="1:18" x14ac:dyDescent="0.2">
      <c r="A6" s="39" t="s">
        <v>21</v>
      </c>
      <c r="E6" s="38"/>
      <c r="F6" s="1"/>
      <c r="H6" t="s">
        <v>32</v>
      </c>
      <c r="I6">
        <v>0.47970600000000002</v>
      </c>
      <c r="J6">
        <v>8.3918999999999994E-2</v>
      </c>
      <c r="K6">
        <v>2.5856000000000001E-2</v>
      </c>
      <c r="L6">
        <v>6.6709999999999998E-3</v>
      </c>
      <c r="M6">
        <v>8.8065000000000004E-2</v>
      </c>
      <c r="N6" s="1">
        <v>1.46642E-18</v>
      </c>
      <c r="O6" s="1">
        <v>2.6788900000000001E-19</v>
      </c>
      <c r="P6" s="1">
        <v>8.2538800000000001E-20</v>
      </c>
      <c r="Q6" s="1">
        <v>2.1296100000000001E-20</v>
      </c>
      <c r="R6" s="1">
        <v>2.8112400000000002E-19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7.1524483572727388E-3</v>
      </c>
      <c r="I8" t="s">
        <v>39</v>
      </c>
      <c r="J8" t="s">
        <v>40</v>
      </c>
      <c r="K8" t="s">
        <v>41</v>
      </c>
      <c r="L8" t="s">
        <v>40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1.4522510604056137E-2</v>
      </c>
      <c r="C10" s="28">
        <f>C9/C2</f>
        <v>1.7859719706642123E-2</v>
      </c>
      <c r="D10" s="28">
        <f>D9/D2</f>
        <v>1.058795992474953E-2</v>
      </c>
      <c r="E10" s="28">
        <f>E9/E2</f>
        <v>1.32869290072014E-2</v>
      </c>
      <c r="F10" s="3">
        <f>SQRT(B12^2+C12^2+D12^2+E12^2)/4</f>
        <v>1.5068494933552588E-2</v>
      </c>
      <c r="H10" t="s">
        <v>30</v>
      </c>
      <c r="I10">
        <v>0.360288</v>
      </c>
      <c r="J10">
        <v>9.3454999999999996E-2</v>
      </c>
      <c r="K10">
        <v>2.6723E-2</v>
      </c>
      <c r="L10">
        <v>7.5370000000000003E-3</v>
      </c>
      <c r="M10">
        <v>9.7491999999999995E-2</v>
      </c>
      <c r="N10" s="1">
        <v>1.08307E-18</v>
      </c>
      <c r="O10" s="1">
        <v>2.9832799999999999E-19</v>
      </c>
      <c r="P10" s="1">
        <v>8.5305099999999998E-20</v>
      </c>
      <c r="Q10" s="1">
        <v>2.4059899999999999E-20</v>
      </c>
      <c r="R10" s="1">
        <v>3.1121600000000002E-19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0.50922900000000004</v>
      </c>
      <c r="J11">
        <v>0.108885</v>
      </c>
      <c r="K11">
        <v>3.9389E-2</v>
      </c>
      <c r="L11">
        <v>7.5370000000000003E-3</v>
      </c>
      <c r="M11">
        <v>0.116036</v>
      </c>
      <c r="N11" s="1">
        <v>1.5585200000000001E-18</v>
      </c>
      <c r="O11" s="1">
        <v>3.4758499999999999E-19</v>
      </c>
      <c r="P11" s="1">
        <v>1.2573900000000001E-19</v>
      </c>
      <c r="Q11" s="1">
        <v>2.4059899999999999E-20</v>
      </c>
      <c r="R11" s="1">
        <v>3.7041199999999999E-19</v>
      </c>
    </row>
    <row r="12" spans="1:18" x14ac:dyDescent="0.2">
      <c r="A12" s="25" t="s">
        <v>12</v>
      </c>
      <c r="B12" s="24">
        <f>K6</f>
        <v>2.5856000000000001E-2</v>
      </c>
      <c r="C12" s="22">
        <f>K12</f>
        <v>2.3181E-2</v>
      </c>
      <c r="D12" s="22">
        <f>K18</f>
        <v>3.7580000000000002E-2</v>
      </c>
      <c r="E12" s="22">
        <f>K24</f>
        <v>3.1856000000000002E-2</v>
      </c>
      <c r="F12" s="1">
        <f>SQRT(B14^2+C14^2+D14^2+E14^2)/4</f>
        <v>2.7197361727229023E-2</v>
      </c>
      <c r="H12" t="s">
        <v>32</v>
      </c>
      <c r="I12">
        <v>0.44301800000000002</v>
      </c>
      <c r="J12">
        <v>7.1726999999999999E-2</v>
      </c>
      <c r="K12">
        <v>2.3181E-2</v>
      </c>
      <c r="L12">
        <v>7.5370000000000003E-3</v>
      </c>
      <c r="M12">
        <v>7.5756000000000004E-2</v>
      </c>
      <c r="N12" s="1">
        <v>1.3471599999999999E-18</v>
      </c>
      <c r="O12" s="1">
        <v>2.2897E-19</v>
      </c>
      <c r="P12" s="1">
        <v>7.3998099999999995E-20</v>
      </c>
      <c r="Q12" s="1">
        <v>2.4059899999999999E-20</v>
      </c>
      <c r="R12" s="1">
        <v>2.4182999999999998E-19</v>
      </c>
    </row>
    <row r="13" spans="1:18" x14ac:dyDescent="0.2">
      <c r="A13" s="25" t="s">
        <v>9</v>
      </c>
      <c r="B13" s="24">
        <f>P6</f>
        <v>8.2538800000000001E-20</v>
      </c>
      <c r="C13" s="24">
        <f>P12</f>
        <v>7.3998099999999995E-20</v>
      </c>
      <c r="D13" s="24">
        <f>P18</f>
        <v>1.1996500000000001E-19</v>
      </c>
      <c r="E13" s="24">
        <f>P24</f>
        <v>1.0169E-19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5.6285920813955073E-2</v>
      </c>
      <c r="C14" s="28">
        <f>C13/C2</f>
        <v>5.4928961667507943E-2</v>
      </c>
      <c r="D14" s="28">
        <f>D13/D2</f>
        <v>5.2485015531347073E-2</v>
      </c>
      <c r="E14" s="28">
        <f>E13/E2</f>
        <v>5.3806795032567689E-2</v>
      </c>
      <c r="F14" s="3">
        <f>SQRT(B16^2+C16^2+D16^2+E16^2)/4</f>
        <v>3.3247038510031232E-2</v>
      </c>
      <c r="I14" t="s">
        <v>39</v>
      </c>
      <c r="J14" t="s">
        <v>40</v>
      </c>
      <c r="K14" t="s">
        <v>41</v>
      </c>
      <c r="L14" t="s">
        <v>40</v>
      </c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8.3918999999999994E-2</v>
      </c>
      <c r="C16" s="22">
        <f>J12</f>
        <v>7.1726999999999999E-2</v>
      </c>
      <c r="D16" s="22">
        <f>J18</f>
        <v>6.0179999999999997E-2</v>
      </c>
      <c r="E16" s="22">
        <f>J24</f>
        <v>4.3325000000000002E-2</v>
      </c>
      <c r="F16" s="1">
        <f>SQRT(B18^2+C18^2+D18^2+E18^2)/4</f>
        <v>6.8319166755937813E-2</v>
      </c>
      <c r="H16" t="s">
        <v>30</v>
      </c>
      <c r="I16">
        <v>0.677844</v>
      </c>
      <c r="J16">
        <v>7.8012999999999999E-2</v>
      </c>
      <c r="K16">
        <v>4.6717000000000002E-2</v>
      </c>
      <c r="L16">
        <v>7.5810000000000001E-3</v>
      </c>
      <c r="M16">
        <v>9.1246999999999995E-2</v>
      </c>
      <c r="N16" s="1">
        <v>2.0764400000000001E-18</v>
      </c>
      <c r="O16" s="1">
        <v>2.4903599999999998E-19</v>
      </c>
      <c r="P16" s="1">
        <v>1.49131E-19</v>
      </c>
      <c r="Q16" s="1">
        <v>2.4200900000000001E-20</v>
      </c>
      <c r="R16" s="1">
        <v>2.9128100000000002E-19</v>
      </c>
    </row>
    <row r="17" spans="1:18" x14ac:dyDescent="0.2">
      <c r="A17" s="25" t="s">
        <v>37</v>
      </c>
      <c r="B17" s="24">
        <f>O6</f>
        <v>2.6788900000000001E-19</v>
      </c>
      <c r="C17" s="24">
        <f>O12</f>
        <v>2.2897E-19</v>
      </c>
      <c r="D17" s="24">
        <f>O18</f>
        <v>1.92107E-19</v>
      </c>
      <c r="E17" s="24">
        <f>O24</f>
        <v>1.38303E-19</v>
      </c>
      <c r="F17" s="1">
        <f>SQRT(B19^2+C19^2+D19^2+E19^2)/4</f>
        <v>0</v>
      </c>
      <c r="H17" t="s">
        <v>31</v>
      </c>
      <c r="I17">
        <v>0.80456499999999997</v>
      </c>
      <c r="J17">
        <v>9.1906000000000002E-2</v>
      </c>
      <c r="K17">
        <v>5.8146999999999997E-2</v>
      </c>
      <c r="L17">
        <v>7.5810000000000001E-3</v>
      </c>
      <c r="M17">
        <v>0.109019</v>
      </c>
      <c r="N17" s="1">
        <v>2.48096E-18</v>
      </c>
      <c r="O17" s="1">
        <v>2.9338299999999998E-19</v>
      </c>
      <c r="P17" s="1">
        <v>1.85618E-19</v>
      </c>
      <c r="Q17" s="1">
        <v>2.4200900000000001E-20</v>
      </c>
      <c r="R17" s="1">
        <v>3.4801300000000001E-19</v>
      </c>
    </row>
    <row r="18" spans="1:18" x14ac:dyDescent="0.2">
      <c r="A18" s="20" t="s">
        <v>38</v>
      </c>
      <c r="B18" s="23">
        <f>B17/B2</f>
        <v>0.18268231475293573</v>
      </c>
      <c r="C18" s="23">
        <f>C17/C2</f>
        <v>0.16996496333026517</v>
      </c>
      <c r="D18" s="28">
        <f>D17/D2</f>
        <v>8.4047337795861224E-2</v>
      </c>
      <c r="E18" s="28">
        <f>E17/E2</f>
        <v>7.317967522262965E-2</v>
      </c>
      <c r="F18" s="3">
        <f>SQRT(B20^2+C20^2+D20^2+E20^2)/4</f>
        <v>0</v>
      </c>
      <c r="H18" t="s">
        <v>32</v>
      </c>
      <c r="I18">
        <v>0.74339699999999997</v>
      </c>
      <c r="J18">
        <v>6.0179999999999997E-2</v>
      </c>
      <c r="K18">
        <v>3.7580000000000002E-2</v>
      </c>
      <c r="L18">
        <v>7.5810000000000001E-3</v>
      </c>
      <c r="M18">
        <v>7.1354000000000001E-2</v>
      </c>
      <c r="N18" s="1">
        <v>2.2857000000000001E-18</v>
      </c>
      <c r="O18" s="1">
        <v>1.92107E-19</v>
      </c>
      <c r="P18" s="1">
        <v>1.1996500000000001E-19</v>
      </c>
      <c r="Q18" s="1">
        <v>2.4200900000000001E-20</v>
      </c>
      <c r="R18" s="1">
        <v>2.2777700000000001E-19</v>
      </c>
    </row>
    <row r="19" spans="1:18" x14ac:dyDescent="0.2">
      <c r="A19" s="36"/>
      <c r="B19" s="31"/>
      <c r="C19" s="31"/>
      <c r="D19" s="31"/>
      <c r="E19" s="31"/>
    </row>
    <row r="20" spans="1:18" x14ac:dyDescent="0.2">
      <c r="A20" s="17" t="s">
        <v>22</v>
      </c>
      <c r="B20" s="19"/>
      <c r="C20" s="19"/>
      <c r="D20" s="19"/>
      <c r="E20" s="19"/>
      <c r="I20" t="s">
        <v>39</v>
      </c>
      <c r="J20" t="s">
        <v>40</v>
      </c>
      <c r="K20" t="s">
        <v>41</v>
      </c>
      <c r="L20" t="s">
        <v>40</v>
      </c>
    </row>
    <row r="21" spans="1:18" x14ac:dyDescent="0.2">
      <c r="A21" s="21" t="s">
        <v>19</v>
      </c>
      <c r="B21" s="22">
        <f>SQRT(B17^2+B13^2+B9^2)</f>
        <v>2.8112398279344651E-19</v>
      </c>
      <c r="C21" s="22">
        <f>SQRT(C17^2+C13^2+C9^2)</f>
        <v>2.4183022658803429E-19</v>
      </c>
      <c r="D21" s="22">
        <f>SQRT(D17^2+D13^2+D9^2)</f>
        <v>2.2777704940316089E-19</v>
      </c>
      <c r="E21" s="22">
        <f>SQRT(E17^2+E13^2+E9^2)</f>
        <v>1.7349104660532197E-19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0.19170768456066237</v>
      </c>
      <c r="C22" s="23">
        <f>C21/C2</f>
        <v>0.17951113942518654</v>
      </c>
      <c r="D22" s="23">
        <f>D21/D2</f>
        <v>9.9653081945645039E-2</v>
      </c>
      <c r="E22" s="28">
        <f>E21/E2</f>
        <v>9.1798575913838207E-2</v>
      </c>
      <c r="H22" t="s">
        <v>30</v>
      </c>
      <c r="I22">
        <v>0.57918899999999995</v>
      </c>
      <c r="J22">
        <v>5.5905999999999997E-2</v>
      </c>
      <c r="K22">
        <v>4.0346E-2</v>
      </c>
      <c r="L22">
        <v>7.8659999999999997E-3</v>
      </c>
      <c r="M22">
        <v>6.9390999999999994E-2</v>
      </c>
      <c r="N22" s="1">
        <v>1.74859E-18</v>
      </c>
      <c r="O22" s="1">
        <v>1.78465E-19</v>
      </c>
      <c r="P22" s="1">
        <v>1.2879299999999999E-19</v>
      </c>
      <c r="Q22" s="1">
        <v>2.5111099999999999E-20</v>
      </c>
      <c r="R22" s="1">
        <v>2.21513E-19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0.65437100000000004</v>
      </c>
      <c r="J23">
        <v>6.6559999999999994E-2</v>
      </c>
      <c r="K23">
        <v>4.9153000000000002E-2</v>
      </c>
      <c r="L23">
        <v>7.8659999999999997E-3</v>
      </c>
      <c r="M23">
        <v>8.3114999999999994E-2</v>
      </c>
      <c r="N23" s="1">
        <v>1.9885899999999998E-18</v>
      </c>
      <c r="O23" s="1">
        <v>2.1247599999999999E-19</v>
      </c>
      <c r="P23" s="1">
        <v>1.5690700000000001E-19</v>
      </c>
      <c r="Q23" s="1">
        <v>2.5111099999999999E-20</v>
      </c>
      <c r="R23" s="1">
        <v>2.6532299999999999E-19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0.62345799999999996</v>
      </c>
      <c r="J24">
        <v>4.3325000000000002E-2</v>
      </c>
      <c r="K24">
        <v>3.1856000000000002E-2</v>
      </c>
      <c r="L24">
        <v>7.8659999999999997E-3</v>
      </c>
      <c r="M24">
        <v>5.4348E-2</v>
      </c>
      <c r="N24" s="1">
        <v>1.88991E-18</v>
      </c>
      <c r="O24" s="1">
        <v>1.38303E-19</v>
      </c>
      <c r="P24" s="1">
        <v>1.0169E-19</v>
      </c>
      <c r="Q24" s="1">
        <v>2.5111099999999999E-20</v>
      </c>
      <c r="R24" s="1">
        <v>1.7349099999999999E-19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1.7206553512660786E-26</v>
      </c>
      <c r="C26" s="1">
        <f>C3-C21</f>
        <v>-2.2658803431396843E-25</v>
      </c>
      <c r="D26" s="1">
        <f>D3-D21</f>
        <v>-4.9403160872505303E-26</v>
      </c>
      <c r="E26" s="1">
        <f>E3-E21</f>
        <v>-4.6605321973691009E-26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00744-860F-4E4F-A67B-4D8310BBC4F7}">
  <dimension ref="A1:R29"/>
  <sheetViews>
    <sheetView zoomScale="140" zoomScaleNormal="140" workbookViewId="0">
      <selection activeCell="B6" sqref="B6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1.34118E-18</v>
      </c>
      <c r="C2" s="22">
        <f>N12</f>
        <v>1.2325699999999999E-18</v>
      </c>
      <c r="D2" s="22">
        <f>N18</f>
        <v>2.0961100000000001E-18</v>
      </c>
      <c r="E2" s="22">
        <f>N24</f>
        <v>1.73167E-18</v>
      </c>
      <c r="F2" s="1">
        <f>SQRT(B2^2+C2^2+D2^2+E2^2)/4</f>
        <v>8.1816680444378221E-19</v>
      </c>
      <c r="H2" s="6" t="s">
        <v>0</v>
      </c>
      <c r="J2" s="2"/>
    </row>
    <row r="3" spans="1:18" x14ac:dyDescent="0.2">
      <c r="A3" s="25" t="s">
        <v>4</v>
      </c>
      <c r="B3" s="24">
        <f>R6</f>
        <v>2.5884099999999999E-19</v>
      </c>
      <c r="C3" s="24">
        <f>R12</f>
        <v>2.2274999999999998E-19</v>
      </c>
      <c r="D3" s="24">
        <f>R18</f>
        <v>2.09949E-19</v>
      </c>
      <c r="E3" s="24">
        <f>R24</f>
        <v>1.6008199999999999E-19</v>
      </c>
      <c r="F3" s="1">
        <f t="shared" ref="F3:F4" si="0">SQRT(B3^2+C3^2+D3^2+E3^2)/4</f>
        <v>1.0791230673155402E-19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0.1929949745746283</v>
      </c>
      <c r="C4" s="23">
        <f t="shared" ref="C4:E4" si="1">C3/C2</f>
        <v>0.18071995910982744</v>
      </c>
      <c r="D4" s="23">
        <f t="shared" si="1"/>
        <v>0.10016125107938037</v>
      </c>
      <c r="E4" s="28">
        <f t="shared" si="1"/>
        <v>9.2443710406717214E-2</v>
      </c>
      <c r="F4" s="1">
        <f t="shared" si="0"/>
        <v>7.4366020316433329E-2</v>
      </c>
      <c r="H4" t="s">
        <v>30</v>
      </c>
      <c r="I4">
        <v>0.57392799999999999</v>
      </c>
      <c r="J4">
        <v>0.101034</v>
      </c>
      <c r="K4">
        <v>4.2106999999999999E-2</v>
      </c>
      <c r="L4">
        <v>6.6709999999999998E-3</v>
      </c>
      <c r="M4">
        <v>0.10965999999999999</v>
      </c>
      <c r="N4" s="1">
        <v>1.7672000000000001E-18</v>
      </c>
      <c r="O4" s="1">
        <v>3.2252300000000001E-19</v>
      </c>
      <c r="P4" s="1">
        <v>1.3441400000000001E-19</v>
      </c>
      <c r="Q4" s="1">
        <v>2.1296100000000001E-20</v>
      </c>
      <c r="R4" s="1">
        <v>3.5006E-19</v>
      </c>
    </row>
    <row r="5" spans="1:18" x14ac:dyDescent="0.2">
      <c r="A5" s="37"/>
      <c r="B5" s="15"/>
      <c r="C5" s="15"/>
      <c r="D5" s="15"/>
      <c r="E5" s="15"/>
      <c r="H5" t="s">
        <v>31</v>
      </c>
      <c r="I5">
        <v>0.27814100000000003</v>
      </c>
      <c r="J5">
        <v>0.11705599999999999</v>
      </c>
      <c r="K5">
        <v>2.2055000000000002E-2</v>
      </c>
      <c r="L5">
        <v>6.6709999999999998E-3</v>
      </c>
      <c r="M5">
        <v>0.11930200000000001</v>
      </c>
      <c r="N5" s="1">
        <v>8.2297700000000003E-19</v>
      </c>
      <c r="O5" s="1">
        <v>3.7366700000000001E-19</v>
      </c>
      <c r="P5" s="1">
        <v>7.0405999999999998E-20</v>
      </c>
      <c r="Q5" s="1">
        <v>2.1296100000000001E-20</v>
      </c>
      <c r="R5" s="1">
        <v>3.8083800000000001E-19</v>
      </c>
    </row>
    <row r="6" spans="1:18" x14ac:dyDescent="0.2">
      <c r="A6" s="39" t="s">
        <v>21</v>
      </c>
      <c r="E6" s="38"/>
      <c r="F6" s="1"/>
      <c r="H6" t="s">
        <v>32</v>
      </c>
      <c r="I6">
        <v>0.44047399999999998</v>
      </c>
      <c r="J6">
        <v>7.7205999999999997E-2</v>
      </c>
      <c r="K6">
        <v>2.3862000000000001E-2</v>
      </c>
      <c r="L6">
        <v>6.6709999999999998E-3</v>
      </c>
      <c r="M6">
        <v>8.1085000000000004E-2</v>
      </c>
      <c r="N6" s="1">
        <v>1.34118E-18</v>
      </c>
      <c r="O6" s="1">
        <v>2.4645999999999998E-19</v>
      </c>
      <c r="P6" s="1">
        <v>7.61744E-20</v>
      </c>
      <c r="Q6" s="1">
        <v>2.1296100000000001E-20</v>
      </c>
      <c r="R6" s="1">
        <v>2.5884099999999999E-19</v>
      </c>
    </row>
    <row r="8" spans="1:18" x14ac:dyDescent="0.2">
      <c r="A8" s="21" t="s">
        <v>11</v>
      </c>
      <c r="B8" s="22">
        <f>L4</f>
        <v>6.6709999999999998E-3</v>
      </c>
      <c r="C8" s="22">
        <f>L12</f>
        <v>7.5370000000000003E-3</v>
      </c>
      <c r="D8" s="22">
        <f>L18</f>
        <v>7.5810000000000001E-3</v>
      </c>
      <c r="E8" s="22">
        <f>L24</f>
        <v>7.8659999999999997E-3</v>
      </c>
      <c r="F8" s="1">
        <f>SQRT(B10^2+C10^2+D10^2+E10^2)/4</f>
        <v>7.8132440622305545E-3</v>
      </c>
      <c r="H8" s="6" t="s">
        <v>1</v>
      </c>
    </row>
    <row r="9" spans="1:18" x14ac:dyDescent="0.2">
      <c r="A9" s="25" t="s">
        <v>6</v>
      </c>
      <c r="B9" s="24">
        <f>Q6</f>
        <v>2.1296100000000001E-20</v>
      </c>
      <c r="C9" s="24">
        <f>Q12</f>
        <v>2.4059899999999999E-20</v>
      </c>
      <c r="D9" s="24">
        <f>Q18</f>
        <v>2.4200900000000001E-20</v>
      </c>
      <c r="E9" s="24">
        <f>Q24</f>
        <v>2.5111099999999999E-20</v>
      </c>
      <c r="F9" s="1">
        <f>SQRT(B11^2+C11^2+D11^2+E11^2)/4</f>
        <v>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0" t="s">
        <v>7</v>
      </c>
      <c r="B10" s="28">
        <f>B9/B2</f>
        <v>1.5878629266765087E-2</v>
      </c>
      <c r="C10" s="28">
        <f>C9/C2</f>
        <v>1.9520108391409819E-2</v>
      </c>
      <c r="D10" s="28">
        <f>D9/D2</f>
        <v>1.1545624991054859E-2</v>
      </c>
      <c r="E10" s="28">
        <f>E9/E2</f>
        <v>1.450108854458413E-2</v>
      </c>
      <c r="F10" s="3">
        <f>SQRT(B12^2+C12^2+D12^2+E12^2)/4</f>
        <v>1.3904650096730229E-2</v>
      </c>
      <c r="H10" t="s">
        <v>30</v>
      </c>
      <c r="I10">
        <v>0.33373900000000001</v>
      </c>
      <c r="J10">
        <v>8.6307999999999996E-2</v>
      </c>
      <c r="K10">
        <v>2.4836E-2</v>
      </c>
      <c r="L10">
        <v>7.5370000000000003E-3</v>
      </c>
      <c r="M10">
        <v>9.0125999999999998E-2</v>
      </c>
      <c r="N10" s="1">
        <v>9.9831999999999998E-19</v>
      </c>
      <c r="O10" s="1">
        <v>2.7551499999999999E-19</v>
      </c>
      <c r="P10" s="1">
        <v>7.9282400000000001E-20</v>
      </c>
      <c r="Q10" s="1">
        <v>2.4059899999999999E-20</v>
      </c>
      <c r="R10" s="1">
        <v>2.87703E-19</v>
      </c>
    </row>
    <row r="11" spans="1:18" x14ac:dyDescent="0.2">
      <c r="A11" s="36"/>
      <c r="B11" s="40"/>
      <c r="C11" s="33"/>
      <c r="D11" s="33"/>
      <c r="E11" s="33"/>
      <c r="H11" t="s">
        <v>31</v>
      </c>
      <c r="I11">
        <v>0.46849800000000003</v>
      </c>
      <c r="J11">
        <v>0.10011299999999999</v>
      </c>
      <c r="K11">
        <v>3.6412E-2</v>
      </c>
      <c r="L11">
        <v>7.5370000000000003E-3</v>
      </c>
      <c r="M11">
        <v>0.106795</v>
      </c>
      <c r="N11" s="1">
        <v>1.4284999999999999E-18</v>
      </c>
      <c r="O11" s="1">
        <v>3.1958299999999999E-19</v>
      </c>
      <c r="P11" s="1">
        <v>1.1623500000000001E-19</v>
      </c>
      <c r="Q11" s="1">
        <v>2.4059899999999999E-20</v>
      </c>
      <c r="R11" s="1">
        <v>3.40915E-19</v>
      </c>
    </row>
    <row r="12" spans="1:18" x14ac:dyDescent="0.2">
      <c r="A12" s="25" t="s">
        <v>12</v>
      </c>
      <c r="B12" s="24">
        <f>K6</f>
        <v>2.3862000000000001E-2</v>
      </c>
      <c r="C12" s="22">
        <f>K12</f>
        <v>2.1389999999999999E-2</v>
      </c>
      <c r="D12" s="22">
        <f>K18</f>
        <v>3.4676999999999999E-2</v>
      </c>
      <c r="E12" s="22">
        <f>K24</f>
        <v>2.9394E-2</v>
      </c>
      <c r="F12" s="1">
        <f>SQRT(B14^2+C14^2+D14^2+E14^2)/4</f>
        <v>2.7408739328468067E-2</v>
      </c>
      <c r="H12" t="s">
        <v>32</v>
      </c>
      <c r="I12">
        <v>0.40711900000000001</v>
      </c>
      <c r="J12">
        <v>6.5989999999999993E-2</v>
      </c>
      <c r="K12">
        <v>2.1389999999999999E-2</v>
      </c>
      <c r="L12">
        <v>7.5370000000000003E-3</v>
      </c>
      <c r="M12">
        <v>6.9778999999999994E-2</v>
      </c>
      <c r="N12" s="1">
        <v>1.2325699999999999E-18</v>
      </c>
      <c r="O12" s="1">
        <v>2.10656E-19</v>
      </c>
      <c r="P12" s="1">
        <v>6.8282900000000006E-20</v>
      </c>
      <c r="Q12" s="1">
        <v>2.4059899999999999E-20</v>
      </c>
      <c r="R12" s="1">
        <v>2.2274999999999998E-19</v>
      </c>
    </row>
    <row r="13" spans="1:18" x14ac:dyDescent="0.2">
      <c r="A13" s="25" t="s">
        <v>9</v>
      </c>
      <c r="B13" s="24">
        <f>P6</f>
        <v>7.61744E-20</v>
      </c>
      <c r="C13" s="24">
        <f>P12</f>
        <v>6.8282900000000006E-20</v>
      </c>
      <c r="D13" s="24">
        <f>P18</f>
        <v>1.1069599999999999E-19</v>
      </c>
      <c r="E13" s="24">
        <f>P24</f>
        <v>9.3830799999999997E-20</v>
      </c>
      <c r="F13" s="1">
        <f>SQRT(B15^2+C15^2+D15^2+E15^2)/4</f>
        <v>0</v>
      </c>
    </row>
    <row r="14" spans="1:18" x14ac:dyDescent="0.2">
      <c r="A14" s="20" t="s">
        <v>10</v>
      </c>
      <c r="B14" s="28">
        <f>B13/B2</f>
        <v>5.6796552289774677E-2</v>
      </c>
      <c r="C14" s="28">
        <f>C13/C2</f>
        <v>5.5398800879463243E-2</v>
      </c>
      <c r="D14" s="28">
        <f>D13/D2</f>
        <v>5.2810205571272494E-2</v>
      </c>
      <c r="E14" s="28">
        <f>E13/E2</f>
        <v>5.4185150750431663E-2</v>
      </c>
      <c r="F14" s="3">
        <f>SQRT(B16^2+C16^2+D16^2+E16^2)/4</f>
        <v>3.0587948281349305E-2</v>
      </c>
      <c r="H14" s="14" t="s">
        <v>33</v>
      </c>
      <c r="I14" s="1"/>
    </row>
    <row r="15" spans="1:18" x14ac:dyDescent="0.2">
      <c r="A15" s="36"/>
      <c r="B15" s="34"/>
      <c r="C15" s="31"/>
      <c r="D15" s="31"/>
      <c r="E15" s="31"/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5" t="s">
        <v>36</v>
      </c>
      <c r="B16" s="22">
        <f>J6</f>
        <v>7.7205999999999997E-2</v>
      </c>
      <c r="C16" s="22">
        <f>J12</f>
        <v>6.5989999999999993E-2</v>
      </c>
      <c r="D16" s="22">
        <f>J18</f>
        <v>5.5368000000000001E-2</v>
      </c>
      <c r="E16" s="22">
        <f>J24</f>
        <v>3.9861000000000001E-2</v>
      </c>
      <c r="F16" s="1">
        <f>SQRT(B18^2+C18^2+D18^2+E18^2)/4</f>
        <v>6.8687765535709253E-2</v>
      </c>
      <c r="H16" t="s">
        <v>30</v>
      </c>
      <c r="I16">
        <v>0.62676299999999996</v>
      </c>
      <c r="J16">
        <v>7.2052000000000005E-2</v>
      </c>
      <c r="K16">
        <v>4.3378E-2</v>
      </c>
      <c r="L16">
        <v>7.5810000000000001E-3</v>
      </c>
      <c r="M16">
        <v>8.4443000000000004E-2</v>
      </c>
      <c r="N16" s="1">
        <v>1.9133799999999999E-18</v>
      </c>
      <c r="O16" s="1">
        <v>2.3000699999999998E-19</v>
      </c>
      <c r="P16" s="1">
        <v>1.3847199999999999E-19</v>
      </c>
      <c r="Q16" s="1">
        <v>2.4200900000000001E-20</v>
      </c>
      <c r="R16" s="1">
        <v>2.6956200000000001E-19</v>
      </c>
    </row>
    <row r="17" spans="1:18" x14ac:dyDescent="0.2">
      <c r="A17" s="25" t="s">
        <v>37</v>
      </c>
      <c r="B17" s="24">
        <f>O6</f>
        <v>2.4645999999999998E-19</v>
      </c>
      <c r="C17" s="24">
        <f>O12</f>
        <v>2.10656E-19</v>
      </c>
      <c r="D17" s="24">
        <f>O18</f>
        <v>1.76746E-19</v>
      </c>
      <c r="E17" s="24">
        <f>O24</f>
        <v>1.2724599999999999E-19</v>
      </c>
      <c r="F17" s="1">
        <f>SQRT(B19^2+C19^2+D19^2+E19^2)/4</f>
        <v>0</v>
      </c>
      <c r="H17" t="s">
        <v>31</v>
      </c>
      <c r="I17">
        <v>0.74011800000000005</v>
      </c>
      <c r="J17">
        <v>8.4492999999999999E-2</v>
      </c>
      <c r="K17">
        <v>5.3792E-2</v>
      </c>
      <c r="L17">
        <v>7.5810000000000001E-3</v>
      </c>
      <c r="M17">
        <v>0.10045</v>
      </c>
      <c r="N17" s="1">
        <v>2.27523E-18</v>
      </c>
      <c r="O17" s="1">
        <v>2.69721E-19</v>
      </c>
      <c r="P17" s="1">
        <v>1.7171600000000001E-19</v>
      </c>
      <c r="Q17" s="1">
        <v>2.4200900000000001E-20</v>
      </c>
      <c r="R17" s="1">
        <v>3.20658E-19</v>
      </c>
    </row>
    <row r="18" spans="1:18" x14ac:dyDescent="0.2">
      <c r="A18" s="20" t="s">
        <v>38</v>
      </c>
      <c r="B18" s="23">
        <f>B17/B2</f>
        <v>0.18376355149942586</v>
      </c>
      <c r="C18" s="23">
        <f>C17/C2</f>
        <v>0.17090794031981957</v>
      </c>
      <c r="D18" s="28">
        <f>D17/D2</f>
        <v>8.4320956438354855E-2</v>
      </c>
      <c r="E18" s="28">
        <f>E17/E2</f>
        <v>7.3481667985239682E-2</v>
      </c>
      <c r="F18" s="3">
        <f>SQRT(B20^2+C20^2+D20^2+E20^2)/4</f>
        <v>0</v>
      </c>
      <c r="H18" t="s">
        <v>32</v>
      </c>
      <c r="I18">
        <v>0.68400799999999995</v>
      </c>
      <c r="J18">
        <v>5.5368000000000001E-2</v>
      </c>
      <c r="K18">
        <v>3.4676999999999999E-2</v>
      </c>
      <c r="L18">
        <v>7.5810000000000001E-3</v>
      </c>
      <c r="M18">
        <v>6.5768999999999994E-2</v>
      </c>
      <c r="N18" s="1">
        <v>2.0961100000000001E-18</v>
      </c>
      <c r="O18" s="1">
        <v>1.76746E-19</v>
      </c>
      <c r="P18" s="1">
        <v>1.1069599999999999E-19</v>
      </c>
      <c r="Q18" s="1">
        <v>2.4200900000000001E-20</v>
      </c>
      <c r="R18" s="1">
        <v>2.09949E-19</v>
      </c>
    </row>
    <row r="19" spans="1:18" x14ac:dyDescent="0.2">
      <c r="A19" s="36"/>
      <c r="B19" s="31"/>
      <c r="C19" s="31"/>
      <c r="D19" s="31"/>
      <c r="E19" s="31"/>
      <c r="J19" s="1"/>
      <c r="K19" s="1"/>
    </row>
    <row r="20" spans="1:18" x14ac:dyDescent="0.2">
      <c r="A20" s="17" t="s">
        <v>22</v>
      </c>
      <c r="B20" s="19"/>
      <c r="C20" s="19"/>
      <c r="D20" s="19"/>
      <c r="E20" s="19"/>
      <c r="H20" s="6" t="s">
        <v>34</v>
      </c>
    </row>
    <row r="21" spans="1:18" x14ac:dyDescent="0.2">
      <c r="A21" s="21" t="s">
        <v>19</v>
      </c>
      <c r="B21" s="22">
        <f>SQRT(B17^2+B13^2+B9^2)</f>
        <v>2.5884086750466974E-19</v>
      </c>
      <c r="C21" s="22">
        <f>SQRT(C17^2+C13^2+C9^2)</f>
        <v>2.2274959833054693E-19</v>
      </c>
      <c r="D21" s="22">
        <f>SQRT(D17^2+D13^2+D9^2)</f>
        <v>2.0994865203856393E-19</v>
      </c>
      <c r="E21" s="22">
        <f>SQRT(E17^2+E13^2+E9^2)</f>
        <v>1.6008226287709077E-19</v>
      </c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A22" s="20" t="s">
        <v>20</v>
      </c>
      <c r="B22" s="23">
        <f>B21/B2</f>
        <v>0.19299487578451047</v>
      </c>
      <c r="C22" s="23">
        <f>C21/C2</f>
        <v>0.18071963323019946</v>
      </c>
      <c r="D22" s="23">
        <f>D21/D2</f>
        <v>0.10016108507595685</v>
      </c>
      <c r="E22" s="28">
        <f>E21/E2</f>
        <v>9.2443862212252204E-2</v>
      </c>
      <c r="H22" t="s">
        <v>30</v>
      </c>
      <c r="I22">
        <v>0.53576999999999997</v>
      </c>
      <c r="J22">
        <v>5.1635E-2</v>
      </c>
      <c r="K22">
        <v>3.7470999999999997E-2</v>
      </c>
      <c r="L22">
        <v>7.8659999999999997E-3</v>
      </c>
      <c r="M22">
        <v>6.4281000000000005E-2</v>
      </c>
      <c r="N22" s="1">
        <v>1.60998E-18</v>
      </c>
      <c r="O22" s="1">
        <v>1.64829E-19</v>
      </c>
      <c r="P22" s="1">
        <v>1.1961499999999999E-19</v>
      </c>
      <c r="Q22" s="1">
        <v>2.5111099999999999E-20</v>
      </c>
      <c r="R22" s="1">
        <v>2.052E-19</v>
      </c>
    </row>
    <row r="23" spans="1:18" x14ac:dyDescent="0.2">
      <c r="A23" s="6"/>
      <c r="B23" s="1"/>
      <c r="C23" s="1"/>
      <c r="D23" s="1"/>
      <c r="E23" s="1"/>
      <c r="H23" t="s">
        <v>31</v>
      </c>
      <c r="I23">
        <v>0.60279799999999994</v>
      </c>
      <c r="J23">
        <v>6.1191000000000002E-2</v>
      </c>
      <c r="K23">
        <v>4.5443999999999998E-2</v>
      </c>
      <c r="L23">
        <v>7.8659999999999997E-3</v>
      </c>
      <c r="M23">
        <v>7.6624999999999999E-2</v>
      </c>
      <c r="N23" s="1">
        <v>1.8239499999999998E-18</v>
      </c>
      <c r="O23" s="1">
        <v>1.9533499999999999E-19</v>
      </c>
      <c r="P23" s="1">
        <v>1.45068E-19</v>
      </c>
      <c r="Q23" s="1">
        <v>2.5111099999999999E-20</v>
      </c>
      <c r="R23" s="1">
        <v>2.44604E-19</v>
      </c>
    </row>
    <row r="24" spans="1:18" x14ac:dyDescent="0.2">
      <c r="A24" s="6"/>
      <c r="B24" s="4"/>
      <c r="C24" s="4"/>
      <c r="D24" s="4"/>
      <c r="E24" s="5"/>
      <c r="H24" t="s">
        <v>32</v>
      </c>
      <c r="I24">
        <v>0.57388799999999995</v>
      </c>
      <c r="J24">
        <v>3.9861000000000001E-2</v>
      </c>
      <c r="K24">
        <v>2.9394E-2</v>
      </c>
      <c r="L24">
        <v>7.8659999999999997E-3</v>
      </c>
      <c r="M24">
        <v>5.0147999999999998E-2</v>
      </c>
      <c r="N24" s="1">
        <v>1.73167E-18</v>
      </c>
      <c r="O24" s="1">
        <v>1.2724599999999999E-19</v>
      </c>
      <c r="P24" s="1">
        <v>9.3830799999999997E-20</v>
      </c>
      <c r="Q24" s="1">
        <v>2.5111099999999999E-20</v>
      </c>
      <c r="R24" s="1">
        <v>1.6008199999999999E-19</v>
      </c>
    </row>
    <row r="25" spans="1:18" x14ac:dyDescent="0.2">
      <c r="C25" s="1"/>
    </row>
    <row r="26" spans="1:18" x14ac:dyDescent="0.2">
      <c r="A26" s="6" t="s">
        <v>35</v>
      </c>
      <c r="B26" s="1">
        <f>B3-B21</f>
        <v>1.324953302446826E-25</v>
      </c>
      <c r="C26" s="1">
        <f>C3-C21</f>
        <v>4.0166945305174924E-25</v>
      </c>
      <c r="D26" s="1">
        <f>D3-D21</f>
        <v>3.4796143606566122E-25</v>
      </c>
      <c r="E26" s="1">
        <f>E3-E21</f>
        <v>-2.6287709077754084E-25</v>
      </c>
    </row>
    <row r="27" spans="1:18" x14ac:dyDescent="0.2">
      <c r="B27" s="1">
        <f>SQRT(B19^2+C19^2+D19^2+E19^2)/4</f>
        <v>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2DCEA-3820-F445-BC5D-3C33E4E08EAD}">
  <dimension ref="A1:R29"/>
  <sheetViews>
    <sheetView zoomScale="140" zoomScaleNormal="140" workbookViewId="0">
      <selection activeCell="E24" sqref="A24:E24"/>
    </sheetView>
  </sheetViews>
  <sheetFormatPr baseColWidth="10" defaultRowHeight="16" x14ac:dyDescent="0.2"/>
  <cols>
    <col min="1" max="1" width="25.1640625" bestFit="1" customWidth="1"/>
    <col min="2" max="2" width="12.33203125" bestFit="1" customWidth="1"/>
    <col min="3" max="5" width="12.16406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8" x14ac:dyDescent="0.2">
      <c r="A1" s="17" t="s">
        <v>23</v>
      </c>
      <c r="B1" s="18" t="s">
        <v>0</v>
      </c>
      <c r="C1" s="18" t="s">
        <v>1</v>
      </c>
      <c r="D1" s="18" t="s">
        <v>2</v>
      </c>
      <c r="E1" s="18" t="s">
        <v>3</v>
      </c>
      <c r="F1" s="1"/>
    </row>
    <row r="2" spans="1:18" x14ac:dyDescent="0.2">
      <c r="A2" s="21" t="s">
        <v>5</v>
      </c>
      <c r="B2" s="22">
        <f>N6</f>
        <v>1.3589599999999999E-18</v>
      </c>
      <c r="C2" s="22">
        <f>N12</f>
        <v>1.23956E-18</v>
      </c>
      <c r="D2" s="22">
        <f>N18</f>
        <v>2.0849100000000001E-18</v>
      </c>
      <c r="E2" s="22">
        <f>N24</f>
        <v>1.7157E-18</v>
      </c>
      <c r="F2" s="1">
        <f>SQRT(B2^2+C2^2+D2^2+E2^2)/4</f>
        <v>8.1676792424852848E-19</v>
      </c>
      <c r="H2" s="6" t="s">
        <v>0</v>
      </c>
      <c r="J2" s="2"/>
    </row>
    <row r="3" spans="1:18" x14ac:dyDescent="0.2">
      <c r="A3" s="25" t="s">
        <v>4</v>
      </c>
      <c r="B3" s="24">
        <f>R6</f>
        <v>2.6231700000000002E-19</v>
      </c>
      <c r="C3" s="24">
        <f>R12</f>
        <v>2.26077E-19</v>
      </c>
      <c r="D3" s="24">
        <f>R18</f>
        <v>2.2043400000000001E-19</v>
      </c>
      <c r="E3" s="24">
        <f>R24</f>
        <v>1.7004300000000001E-19</v>
      </c>
      <c r="F3" s="1">
        <f t="shared" ref="F3:F4" si="0">SQRT(B3^2+C3^2+D3^2+E3^2)/4</f>
        <v>1.1108183599912949E-19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  <c r="M3" t="s">
        <v>29</v>
      </c>
      <c r="N3" t="s">
        <v>25</v>
      </c>
      <c r="O3" t="s">
        <v>26</v>
      </c>
      <c r="P3" t="s">
        <v>27</v>
      </c>
      <c r="Q3" t="s">
        <v>28</v>
      </c>
      <c r="R3" t="s">
        <v>29</v>
      </c>
    </row>
    <row r="4" spans="1:18" x14ac:dyDescent="0.2">
      <c r="A4" s="20" t="s">
        <v>8</v>
      </c>
      <c r="B4" s="23">
        <f>B3/B2</f>
        <v>0.19302775651969156</v>
      </c>
      <c r="C4" s="23">
        <f t="shared" ref="C4:E4" si="1">C3/C2</f>
        <v>0.18238487850527607</v>
      </c>
      <c r="D4" s="23">
        <f t="shared" si="1"/>
        <v>0.10572830481891304</v>
      </c>
      <c r="E4" s="28">
        <f t="shared" si="1"/>
        <v>9.9109984262983036E-2</v>
      </c>
      <c r="F4" s="1">
        <f t="shared" si="0"/>
        <v>7.5632839310587896E-2</v>
      </c>
      <c r="H4" t="s">
        <v>30</v>
      </c>
      <c r="I4">
        <v>0.58366300000000004</v>
      </c>
      <c r="J4">
        <v>9.9824999999999997E-2</v>
      </c>
      <c r="K4">
        <v>4.8386999999999999E-2</v>
      </c>
      <c r="L4">
        <v>6.6709999999999998E-3</v>
      </c>
      <c r="M4">
        <v>0.111134</v>
      </c>
      <c r="N4" s="1">
        <v>1.7982699999999999E-18</v>
      </c>
      <c r="O4" s="1">
        <v>3.18662E-19</v>
      </c>
      <c r="P4" s="1">
        <v>1.5446199999999999E-19</v>
      </c>
      <c r="Q4" s="1">
        <v>2.1296100000000001E-20</v>
      </c>
      <c r="R4" s="1">
        <v>3.5476399999999998E-19</v>
      </c>
    </row>
    <row r="5" spans="1:18" x14ac:dyDescent="0.2">
      <c r="A5" s="26"/>
      <c r="B5" s="29"/>
      <c r="C5" s="29"/>
      <c r="D5" s="29"/>
      <c r="E5" s="27"/>
      <c r="H5" t="s">
        <v>31</v>
      </c>
      <c r="I5">
        <v>0.28029199999999999</v>
      </c>
      <c r="J5">
        <v>0.118563</v>
      </c>
      <c r="K5">
        <v>2.7045E-2</v>
      </c>
      <c r="L5">
        <v>6.6709999999999998E-3</v>
      </c>
      <c r="M5">
        <v>0.121791</v>
      </c>
      <c r="N5" s="1">
        <v>8.2984499999999999E-19</v>
      </c>
      <c r="O5" s="1">
        <v>3.7847999999999999E-19</v>
      </c>
      <c r="P5" s="1">
        <v>8.6332900000000003E-20</v>
      </c>
      <c r="Q5" s="1">
        <v>2.1296100000000001E-20</v>
      </c>
      <c r="R5" s="1">
        <v>3.8878500000000001E-19</v>
      </c>
    </row>
    <row r="6" spans="1:18" x14ac:dyDescent="0.2">
      <c r="A6" s="21" t="s">
        <v>11</v>
      </c>
      <c r="B6" s="22">
        <f>L4</f>
        <v>6.6709999999999998E-3</v>
      </c>
      <c r="C6" s="22">
        <f>L12</f>
        <v>7.5370000000000003E-3</v>
      </c>
      <c r="D6" s="22">
        <f>L18</f>
        <v>7.5810000000000001E-3</v>
      </c>
      <c r="E6" s="22">
        <f>L24</f>
        <v>7.8659999999999997E-3</v>
      </c>
      <c r="F6" s="1"/>
      <c r="H6" t="s">
        <v>32</v>
      </c>
      <c r="I6">
        <v>0.44604300000000002</v>
      </c>
      <c r="J6">
        <v>7.6947000000000002E-2</v>
      </c>
      <c r="K6">
        <v>2.8056000000000001E-2</v>
      </c>
      <c r="L6">
        <v>6.6709999999999998E-3</v>
      </c>
      <c r="M6">
        <v>8.2173999999999997E-2</v>
      </c>
      <c r="N6" s="1">
        <v>1.3589599999999999E-18</v>
      </c>
      <c r="O6" s="1">
        <v>2.4563299999999999E-19</v>
      </c>
      <c r="P6" s="1">
        <v>8.9560300000000005E-20</v>
      </c>
      <c r="Q6" s="1">
        <v>2.1296100000000001E-20</v>
      </c>
      <c r="R6" s="1">
        <v>2.6231700000000002E-19</v>
      </c>
    </row>
    <row r="7" spans="1:18" x14ac:dyDescent="0.2">
      <c r="A7" s="25" t="s">
        <v>6</v>
      </c>
      <c r="B7" s="24">
        <f>Q6</f>
        <v>2.1296100000000001E-20</v>
      </c>
      <c r="C7" s="24">
        <f>Q12</f>
        <v>2.4059899999999999E-20</v>
      </c>
      <c r="D7" s="24">
        <f>Q18</f>
        <v>2.4200900000000001E-20</v>
      </c>
      <c r="E7" s="24">
        <f>Q24</f>
        <v>2.5111099999999999E-20</v>
      </c>
    </row>
    <row r="8" spans="1:18" x14ac:dyDescent="0.2">
      <c r="A8" s="20" t="s">
        <v>7</v>
      </c>
      <c r="B8" s="28">
        <f>B7/B2</f>
        <v>1.5670880673456174E-2</v>
      </c>
      <c r="C8" s="28">
        <f>C7/C2</f>
        <v>1.9410032592210139E-2</v>
      </c>
      <c r="D8" s="28">
        <f>D7/D2</f>
        <v>1.1607647332498765E-2</v>
      </c>
      <c r="E8" s="28">
        <f>E7/E2</f>
        <v>1.4636066911464707E-2</v>
      </c>
      <c r="F8" s="1">
        <f>SQRT(B6^2+C6^2+D6^2+E6^2)/4</f>
        <v>3.7136078060963844E-3</v>
      </c>
      <c r="H8" s="6" t="s">
        <v>1</v>
      </c>
    </row>
    <row r="9" spans="1:18" x14ac:dyDescent="0.2">
      <c r="A9" s="17"/>
      <c r="B9" s="35"/>
      <c r="C9" s="33"/>
      <c r="D9" s="33"/>
      <c r="E9" s="32"/>
      <c r="F9" s="1">
        <f>SQRT(B7^2+C7^2+D7^2+E7^2)/4</f>
        <v>1.1854992532789719E-20</v>
      </c>
      <c r="H9" t="s">
        <v>24</v>
      </c>
      <c r="I9" t="s">
        <v>25</v>
      </c>
      <c r="J9" t="s">
        <v>26</v>
      </c>
      <c r="K9" t="s">
        <v>27</v>
      </c>
      <c r="L9" t="s">
        <v>28</v>
      </c>
      <c r="M9" t="s">
        <v>29</v>
      </c>
      <c r="N9" t="s">
        <v>25</v>
      </c>
      <c r="O9" t="s">
        <v>26</v>
      </c>
      <c r="P9" t="s">
        <v>27</v>
      </c>
      <c r="Q9" t="s">
        <v>28</v>
      </c>
      <c r="R9" t="s">
        <v>29</v>
      </c>
    </row>
    <row r="10" spans="1:18" x14ac:dyDescent="0.2">
      <c r="A10" s="25" t="s">
        <v>12</v>
      </c>
      <c r="B10" s="24">
        <f>K6</f>
        <v>2.8056000000000001E-2</v>
      </c>
      <c r="C10" s="22">
        <f>K12</f>
        <v>2.5180999999999999E-2</v>
      </c>
      <c r="D10" s="22">
        <f>K18</f>
        <v>4.0837999999999999E-2</v>
      </c>
      <c r="E10" s="22">
        <f>K24</f>
        <v>3.4623000000000001E-2</v>
      </c>
      <c r="F10" s="3">
        <f>SQRT(B8^2+C8^2+D8^2+E8^2)/4</f>
        <v>7.7913325141824264E-3</v>
      </c>
      <c r="H10" t="s">
        <v>30</v>
      </c>
      <c r="I10">
        <v>0.336171</v>
      </c>
      <c r="J10">
        <v>8.5261000000000003E-2</v>
      </c>
      <c r="K10">
        <v>2.8688999999999999E-2</v>
      </c>
      <c r="L10">
        <v>7.5370000000000003E-3</v>
      </c>
      <c r="M10">
        <v>9.0273000000000006E-2</v>
      </c>
      <c r="N10" s="1">
        <v>1.0060799999999999E-18</v>
      </c>
      <c r="O10" s="1">
        <v>2.7217199999999998E-19</v>
      </c>
      <c r="P10" s="1">
        <v>9.1580400000000002E-20</v>
      </c>
      <c r="Q10" s="1">
        <v>2.4059899999999999E-20</v>
      </c>
      <c r="R10" s="1">
        <v>2.8817300000000002E-19</v>
      </c>
    </row>
    <row r="11" spans="1:18" x14ac:dyDescent="0.2">
      <c r="A11" s="25" t="s">
        <v>9</v>
      </c>
      <c r="B11" s="24">
        <f>P6</f>
        <v>8.9560300000000005E-20</v>
      </c>
      <c r="C11" s="24">
        <f>P12</f>
        <v>8.0383499999999999E-20</v>
      </c>
      <c r="D11" s="24">
        <f>P18</f>
        <v>1.30364E-19</v>
      </c>
      <c r="E11" s="24">
        <f>P24</f>
        <v>1.1052399999999999E-19</v>
      </c>
      <c r="H11" t="s">
        <v>31</v>
      </c>
      <c r="I11">
        <v>0.475659</v>
      </c>
      <c r="J11">
        <v>0.101399</v>
      </c>
      <c r="K11">
        <v>4.4690000000000001E-2</v>
      </c>
      <c r="L11">
        <v>7.5370000000000003E-3</v>
      </c>
      <c r="M11">
        <v>0.111067</v>
      </c>
      <c r="N11" s="1">
        <v>1.4513599999999999E-18</v>
      </c>
      <c r="O11" s="1">
        <v>3.2368899999999999E-19</v>
      </c>
      <c r="P11" s="1">
        <v>1.4266099999999999E-19</v>
      </c>
      <c r="Q11" s="1">
        <v>2.4059899999999999E-20</v>
      </c>
      <c r="R11" s="1">
        <v>3.5455000000000002E-19</v>
      </c>
    </row>
    <row r="12" spans="1:18" x14ac:dyDescent="0.2">
      <c r="A12" s="20" t="s">
        <v>10</v>
      </c>
      <c r="B12" s="28">
        <f>B11/B2</f>
        <v>6.5903558603638085E-2</v>
      </c>
      <c r="C12" s="28">
        <f>C11/C2</f>
        <v>6.4848413953338277E-2</v>
      </c>
      <c r="D12" s="28">
        <f>D11/D2</f>
        <v>6.2527399264236824E-2</v>
      </c>
      <c r="E12" s="28">
        <f>E11/E2</f>
        <v>6.4419187503642825E-2</v>
      </c>
      <c r="F12" s="1">
        <f>SQRT(B10^2+C10^2+D10^2+E10^2)/4</f>
        <v>1.6370163923278228E-2</v>
      </c>
      <c r="H12" t="s">
        <v>32</v>
      </c>
      <c r="I12">
        <v>0.40931000000000001</v>
      </c>
      <c r="J12">
        <v>6.5763000000000002E-2</v>
      </c>
      <c r="K12">
        <v>2.5180999999999999E-2</v>
      </c>
      <c r="L12">
        <v>7.5370000000000003E-3</v>
      </c>
      <c r="M12">
        <v>7.0820999999999995E-2</v>
      </c>
      <c r="N12" s="1">
        <v>1.23956E-18</v>
      </c>
      <c r="O12" s="1">
        <v>2.0993E-19</v>
      </c>
      <c r="P12" s="1">
        <v>8.0383499999999999E-20</v>
      </c>
      <c r="Q12" s="1">
        <v>2.4059899999999999E-20</v>
      </c>
      <c r="R12" s="1">
        <v>2.26077E-19</v>
      </c>
    </row>
    <row r="13" spans="1:18" x14ac:dyDescent="0.2">
      <c r="A13" s="16"/>
      <c r="B13" s="34"/>
      <c r="C13" s="31"/>
      <c r="D13" s="31"/>
      <c r="E13" s="30"/>
      <c r="F13" s="1">
        <f>SQRT(B11^2+C11^2+D11^2+E11^2)/4</f>
        <v>5.2257105665366219E-20</v>
      </c>
    </row>
    <row r="14" spans="1:18" x14ac:dyDescent="0.2">
      <c r="A14" s="25" t="s">
        <v>17</v>
      </c>
      <c r="B14" s="22">
        <f>J6</f>
        <v>7.6947000000000002E-2</v>
      </c>
      <c r="C14" s="22">
        <f>J12</f>
        <v>6.5763000000000002E-2</v>
      </c>
      <c r="D14" s="22">
        <f>J18</f>
        <v>5.5164999999999999E-2</v>
      </c>
      <c r="E14" s="22">
        <f>J24</f>
        <v>3.9710000000000002E-2</v>
      </c>
      <c r="F14" s="3">
        <f>SQRT(B12^2+C12^2+D12^2+E12^2)/4</f>
        <v>3.2218107492396113E-2</v>
      </c>
      <c r="H14" s="14" t="s">
        <v>33</v>
      </c>
      <c r="I14" s="1"/>
    </row>
    <row r="15" spans="1:18" x14ac:dyDescent="0.2">
      <c r="A15" s="25" t="s">
        <v>16</v>
      </c>
      <c r="B15" s="24">
        <f>O6</f>
        <v>2.4563299999999999E-19</v>
      </c>
      <c r="C15" s="24">
        <f>O12</f>
        <v>2.0993E-19</v>
      </c>
      <c r="D15" s="24">
        <f>O18</f>
        <v>1.76099E-19</v>
      </c>
      <c r="E15" s="24">
        <f>O24</f>
        <v>1.26763E-19</v>
      </c>
      <c r="H15" t="s">
        <v>24</v>
      </c>
      <c r="I15" t="s">
        <v>25</v>
      </c>
      <c r="J15" t="s">
        <v>26</v>
      </c>
      <c r="K15" t="s">
        <v>27</v>
      </c>
      <c r="L15" t="s">
        <v>28</v>
      </c>
      <c r="M15" t="s">
        <v>29</v>
      </c>
      <c r="N15" t="s">
        <v>25</v>
      </c>
      <c r="O15" t="s">
        <v>26</v>
      </c>
      <c r="P15" t="s">
        <v>27</v>
      </c>
      <c r="Q15" t="s">
        <v>28</v>
      </c>
      <c r="R15" t="s">
        <v>29</v>
      </c>
    </row>
    <row r="16" spans="1:18" x14ac:dyDescent="0.2">
      <c r="A16" s="20" t="s">
        <v>18</v>
      </c>
      <c r="B16" s="23">
        <f>B15/B2</f>
        <v>0.18075072113969506</v>
      </c>
      <c r="C16" s="23">
        <f>C15/C2</f>
        <v>0.1693584820420149</v>
      </c>
      <c r="D16" s="28">
        <f>D15/D2</f>
        <v>8.4463597949072142E-2</v>
      </c>
      <c r="E16" s="28">
        <f>E15/E2</f>
        <v>7.3884128926968579E-2</v>
      </c>
      <c r="F16" s="1">
        <f>SQRT(B14^2+C14^2+D14^2+E14^2)/4</f>
        <v>3.0481217888029016E-2</v>
      </c>
      <c r="H16" t="s">
        <v>30</v>
      </c>
      <c r="I16">
        <v>0.61300699999999997</v>
      </c>
      <c r="J16">
        <v>7.1171999999999999E-2</v>
      </c>
      <c r="K16">
        <v>4.9813999999999997E-2</v>
      </c>
      <c r="L16">
        <v>7.5810000000000001E-3</v>
      </c>
      <c r="M16">
        <v>8.7203000000000003E-2</v>
      </c>
      <c r="N16" s="1">
        <v>1.8694599999999998E-18</v>
      </c>
      <c r="O16" s="1">
        <v>2.2719600000000001E-19</v>
      </c>
      <c r="P16" s="1">
        <v>1.5901800000000001E-19</v>
      </c>
      <c r="Q16" s="1">
        <v>2.4200900000000001E-20</v>
      </c>
      <c r="R16" s="1">
        <v>2.78371E-19</v>
      </c>
    </row>
    <row r="17" spans="1:18" x14ac:dyDescent="0.2">
      <c r="A17" s="16"/>
      <c r="B17" s="31"/>
      <c r="C17" s="31"/>
      <c r="D17" s="31"/>
      <c r="E17" s="30"/>
      <c r="F17" s="1">
        <f>SQRT(B15^2+C15^2+D15^2+E15^2)/4</f>
        <v>9.730297129295436E-20</v>
      </c>
      <c r="H17" t="s">
        <v>31</v>
      </c>
      <c r="I17">
        <v>0.75009599999999998</v>
      </c>
      <c r="J17">
        <v>8.5546999999999998E-2</v>
      </c>
      <c r="K17">
        <v>6.4516000000000004E-2</v>
      </c>
      <c r="L17">
        <v>7.5810000000000001E-3</v>
      </c>
      <c r="M17">
        <v>0.107415</v>
      </c>
      <c r="N17" s="1">
        <v>2.30708E-18</v>
      </c>
      <c r="O17" s="1">
        <v>2.7308399999999998E-19</v>
      </c>
      <c r="P17" s="1">
        <v>2.0594799999999999E-19</v>
      </c>
      <c r="Q17" s="1">
        <v>2.4200900000000001E-20</v>
      </c>
      <c r="R17" s="1">
        <v>3.4289199999999998E-19</v>
      </c>
    </row>
    <row r="18" spans="1:18" x14ac:dyDescent="0.2">
      <c r="A18" s="17" t="s">
        <v>22</v>
      </c>
      <c r="B18" s="19"/>
      <c r="C18" s="19"/>
      <c r="D18" s="19"/>
      <c r="E18" s="19"/>
      <c r="F18" s="3">
        <f>SQRT(B16^2+C16^2+D16^2+E16^2)/4</f>
        <v>6.7982572453301734E-2</v>
      </c>
      <c r="H18" t="s">
        <v>32</v>
      </c>
      <c r="I18">
        <v>0.68049599999999999</v>
      </c>
      <c r="J18">
        <v>5.5164999999999999E-2</v>
      </c>
      <c r="K18">
        <v>4.0837999999999999E-2</v>
      </c>
      <c r="L18">
        <v>7.5810000000000001E-3</v>
      </c>
      <c r="M18">
        <v>6.9054000000000004E-2</v>
      </c>
      <c r="N18" s="1">
        <v>2.0849100000000001E-18</v>
      </c>
      <c r="O18" s="1">
        <v>1.76099E-19</v>
      </c>
      <c r="P18" s="1">
        <v>1.30364E-19</v>
      </c>
      <c r="Q18" s="1">
        <v>2.4200900000000001E-20</v>
      </c>
      <c r="R18" s="1">
        <v>2.2043400000000001E-19</v>
      </c>
    </row>
    <row r="19" spans="1:18" x14ac:dyDescent="0.2">
      <c r="A19" s="21" t="s">
        <v>19</v>
      </c>
      <c r="B19" s="22">
        <f>SQRT(B15^2+B11^2+B7^2)</f>
        <v>2.6231687307586602E-19</v>
      </c>
      <c r="C19" s="22">
        <f>SQRT(C15^2+C11^2+C7^2)</f>
        <v>2.2607739993254524E-19</v>
      </c>
      <c r="D19" s="22">
        <f>SQRT(D15^2+D11^2+D7^2)</f>
        <v>2.2043437539959596E-19</v>
      </c>
      <c r="E19" s="22">
        <f>SQRT(E15^2+E11^2+E7^2)</f>
        <v>1.7004405337502984E-19</v>
      </c>
      <c r="J19" s="1"/>
      <c r="K19" s="1"/>
    </row>
    <row r="20" spans="1:18" x14ac:dyDescent="0.2">
      <c r="A20" s="20" t="s">
        <v>20</v>
      </c>
      <c r="B20" s="23">
        <f>B19/B2</f>
        <v>0.19302766312170044</v>
      </c>
      <c r="C20" s="23">
        <f>C19/C2</f>
        <v>0.18238520114600765</v>
      </c>
      <c r="D20" s="23">
        <f>D19/D2</f>
        <v>0.10572848487445308</v>
      </c>
      <c r="E20" s="28">
        <f>E19/E2</f>
        <v>9.9110598225231591E-2</v>
      </c>
      <c r="H20" s="6" t="s">
        <v>34</v>
      </c>
    </row>
    <row r="21" spans="1:18" x14ac:dyDescent="0.2">
      <c r="H21" t="s">
        <v>24</v>
      </c>
      <c r="I21" t="s">
        <v>25</v>
      </c>
      <c r="J21" t="s">
        <v>26</v>
      </c>
      <c r="K21" t="s">
        <v>27</v>
      </c>
      <c r="L21" t="s">
        <v>28</v>
      </c>
      <c r="M21" t="s">
        <v>29</v>
      </c>
      <c r="N21" t="s">
        <v>25</v>
      </c>
      <c r="O21" t="s">
        <v>26</v>
      </c>
      <c r="P21" t="s">
        <v>27</v>
      </c>
      <c r="Q21" t="s">
        <v>28</v>
      </c>
      <c r="R21" t="s">
        <v>29</v>
      </c>
    </row>
    <row r="22" spans="1:18" x14ac:dyDescent="0.2">
      <c r="H22" t="s">
        <v>30</v>
      </c>
      <c r="I22">
        <v>0.52923600000000004</v>
      </c>
      <c r="J22">
        <v>5.0979999999999998E-2</v>
      </c>
      <c r="K22">
        <v>4.3090000000000003E-2</v>
      </c>
      <c r="L22">
        <v>7.8659999999999997E-3</v>
      </c>
      <c r="M22">
        <v>6.7212999999999995E-2</v>
      </c>
      <c r="N22" s="1">
        <v>1.5891300000000001E-18</v>
      </c>
      <c r="O22" s="1">
        <v>1.6274000000000001E-19</v>
      </c>
      <c r="P22" s="1">
        <v>1.3755399999999999E-19</v>
      </c>
      <c r="Q22" s="1">
        <v>2.5111099999999999E-20</v>
      </c>
      <c r="R22" s="1">
        <v>2.1456E-19</v>
      </c>
    </row>
    <row r="23" spans="1:18" x14ac:dyDescent="0.2">
      <c r="C23" s="1"/>
      <c r="H23" t="s">
        <v>31</v>
      </c>
      <c r="I23">
        <v>0.613425</v>
      </c>
      <c r="J23">
        <v>6.1948000000000003E-2</v>
      </c>
      <c r="K23">
        <v>5.4966000000000001E-2</v>
      </c>
      <c r="L23">
        <v>7.8659999999999997E-3</v>
      </c>
      <c r="M23">
        <v>8.3191000000000001E-2</v>
      </c>
      <c r="N23" s="1">
        <v>1.8578800000000001E-18</v>
      </c>
      <c r="O23" s="1">
        <v>1.97753E-19</v>
      </c>
      <c r="P23" s="1">
        <v>1.75464E-19</v>
      </c>
      <c r="Q23" s="1">
        <v>2.5111099999999999E-20</v>
      </c>
      <c r="R23" s="1">
        <v>2.6556400000000001E-19</v>
      </c>
    </row>
    <row r="24" spans="1:18" x14ac:dyDescent="0.2">
      <c r="A24" s="6" t="s">
        <v>35</v>
      </c>
      <c r="B24" s="1">
        <f>B3-B19</f>
        <v>1.2692413400183859E-25</v>
      </c>
      <c r="C24" s="1">
        <f>C3-C19</f>
        <v>-3.9993254523509084E-25</v>
      </c>
      <c r="D24" s="1">
        <f>D3-D19</f>
        <v>-3.7539959595068783E-25</v>
      </c>
      <c r="E24" s="1">
        <f>E3-E19</f>
        <v>-1.0533750298308976E-24</v>
      </c>
      <c r="H24" t="s">
        <v>32</v>
      </c>
      <c r="I24">
        <v>0.56888700000000003</v>
      </c>
      <c r="J24">
        <v>3.9710000000000002E-2</v>
      </c>
      <c r="K24">
        <v>3.4623000000000001E-2</v>
      </c>
      <c r="L24">
        <v>7.8659999999999997E-3</v>
      </c>
      <c r="M24">
        <v>5.3268000000000003E-2</v>
      </c>
      <c r="N24" s="1">
        <v>1.7157E-18</v>
      </c>
      <c r="O24" s="1">
        <v>1.26763E-19</v>
      </c>
      <c r="P24" s="1">
        <v>1.1052399999999999E-19</v>
      </c>
      <c r="Q24" s="1">
        <v>2.5111099999999999E-20</v>
      </c>
      <c r="R24" s="1">
        <v>1.7004300000000001E-19</v>
      </c>
    </row>
    <row r="26" spans="1:18" x14ac:dyDescent="0.2">
      <c r="B26" s="1">
        <v>1.0900000000000001E-19</v>
      </c>
    </row>
    <row r="27" spans="1:18" x14ac:dyDescent="0.2">
      <c r="B27" s="1">
        <f>SQRT(B15^2+C15^2+D15^2+E15^2)/4</f>
        <v>9.730297129295436E-20</v>
      </c>
    </row>
    <row r="29" spans="1:18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F9457-2941-A549-82F7-48456C4B3AA6}">
  <dimension ref="A1:L29"/>
  <sheetViews>
    <sheetView zoomScale="110" zoomScaleNormal="110" workbookViewId="0">
      <selection activeCell="F20" sqref="F20"/>
    </sheetView>
  </sheetViews>
  <sheetFormatPr baseColWidth="10" defaultRowHeight="16" x14ac:dyDescent="0.2"/>
  <cols>
    <col min="1" max="1" width="25.1640625" bestFit="1" customWidth="1"/>
    <col min="2" max="5" width="11.33203125" bestFit="1" customWidth="1"/>
    <col min="6" max="6" width="14.5" bestFit="1" customWidth="1"/>
    <col min="8" max="8" width="18.83203125" bestFit="1" customWidth="1"/>
    <col min="9" max="9" width="9.1640625" customWidth="1"/>
  </cols>
  <sheetData>
    <row r="1" spans="1:12" x14ac:dyDescent="0.2">
      <c r="A1" s="6" t="s">
        <v>23</v>
      </c>
      <c r="B1" s="10" t="s">
        <v>0</v>
      </c>
      <c r="C1" s="10" t="s">
        <v>1</v>
      </c>
      <c r="D1" s="10" t="s">
        <v>2</v>
      </c>
      <c r="E1" s="10" t="s">
        <v>3</v>
      </c>
      <c r="F1" s="1"/>
      <c r="G1" s="6" t="s">
        <v>15</v>
      </c>
      <c r="I1" s="2"/>
    </row>
    <row r="2" spans="1:12" x14ac:dyDescent="0.2">
      <c r="A2" s="6" t="s">
        <v>5</v>
      </c>
      <c r="B2" s="1">
        <v>1.3589579999999999E-18</v>
      </c>
      <c r="C2" s="1">
        <v>1.239558E-18</v>
      </c>
      <c r="D2" s="1">
        <v>2.0849060000000001E-18</v>
      </c>
      <c r="E2" s="1">
        <v>1.715702E-18</v>
      </c>
      <c r="G2" s="6" t="s">
        <v>13</v>
      </c>
      <c r="H2" s="1">
        <v>5.1145000000000002E-36</v>
      </c>
      <c r="I2" s="2"/>
      <c r="J2" s="2"/>
      <c r="K2" s="2"/>
      <c r="L2" s="2"/>
    </row>
    <row r="3" spans="1:12" x14ac:dyDescent="0.2">
      <c r="A3" s="6" t="s">
        <v>4</v>
      </c>
      <c r="B3" s="1">
        <v>2.623169E-19</v>
      </c>
      <c r="C3" s="1">
        <v>2.2607720000000001E-19</v>
      </c>
      <c r="D3" s="1">
        <v>2.2043439999999998E-19</v>
      </c>
      <c r="E3" s="1">
        <v>1.7004350000000001E-19</v>
      </c>
      <c r="F3" s="1"/>
      <c r="G3" s="6" t="s">
        <v>14</v>
      </c>
      <c r="H3" s="1">
        <v>6.2415100000000003E+20</v>
      </c>
      <c r="I3" s="5"/>
      <c r="J3" s="5"/>
      <c r="K3" s="5"/>
      <c r="L3" s="5"/>
    </row>
    <row r="4" spans="1:12" x14ac:dyDescent="0.2">
      <c r="A4" s="6" t="s">
        <v>8</v>
      </c>
      <c r="B4" s="4">
        <f>B3/B2</f>
        <v>0.19302796701590483</v>
      </c>
      <c r="C4" s="4">
        <f t="shared" ref="C4:E4" si="0">C3/C2</f>
        <v>0.18238533412716468</v>
      </c>
      <c r="D4" s="4">
        <f t="shared" si="0"/>
        <v>0.10572869951930684</v>
      </c>
      <c r="E4" s="5">
        <f t="shared" si="0"/>
        <v>9.9110160156017771E-2</v>
      </c>
      <c r="F4" s="1"/>
      <c r="I4" s="5"/>
      <c r="J4" s="5"/>
      <c r="K4" s="5"/>
      <c r="L4" s="5"/>
    </row>
    <row r="5" spans="1:12" x14ac:dyDescent="0.2">
      <c r="A5" s="6"/>
      <c r="B5" s="1"/>
      <c r="C5" s="1"/>
      <c r="D5" s="1"/>
      <c r="E5" s="1"/>
      <c r="I5" s="5"/>
      <c r="J5" s="5"/>
      <c r="K5" s="5"/>
      <c r="L5" s="5"/>
    </row>
    <row r="6" spans="1:12" x14ac:dyDescent="0.2">
      <c r="A6" s="6" t="s">
        <v>21</v>
      </c>
      <c r="B6" s="1"/>
      <c r="C6" s="1"/>
      <c r="D6" s="1"/>
      <c r="E6" s="1"/>
      <c r="F6" s="1"/>
    </row>
    <row r="7" spans="1:12" x14ac:dyDescent="0.2">
      <c r="A7" s="6"/>
      <c r="B7" s="1"/>
      <c r="C7" s="1"/>
      <c r="D7" s="1"/>
      <c r="E7" s="1"/>
    </row>
    <row r="8" spans="1:12" x14ac:dyDescent="0.2">
      <c r="A8" s="6" t="s">
        <v>11</v>
      </c>
      <c r="B8" s="9">
        <f>0.001*6.67124</f>
        <v>6.6712400000000002E-3</v>
      </c>
      <c r="C8" s="9">
        <f>0.001*7.53705</f>
        <v>7.53705E-3</v>
      </c>
      <c r="D8" s="9">
        <f>0.001*7.5812</f>
        <v>7.5811999999999997E-3</v>
      </c>
      <c r="E8" s="9">
        <f>0.001*7.86634</f>
        <v>7.8663399999999994E-3</v>
      </c>
    </row>
    <row r="9" spans="1:12" x14ac:dyDescent="0.2">
      <c r="A9" s="6" t="s">
        <v>6</v>
      </c>
      <c r="B9" s="1">
        <f>$H$3*($H$2*ATAN(B8*0.001))</f>
        <v>2.1296067683808052E-20</v>
      </c>
      <c r="C9" s="1">
        <f t="shared" ref="C9:E9" si="1">$H$3*($H$2*ATAN(C8*0.001))</f>
        <v>2.4059923932520386E-20</v>
      </c>
      <c r="D9" s="1">
        <f t="shared" si="1"/>
        <v>2.4200860458293758E-20</v>
      </c>
      <c r="E9" s="1">
        <f t="shared" si="1"/>
        <v>2.5111090151587476E-20</v>
      </c>
    </row>
    <row r="10" spans="1:12" x14ac:dyDescent="0.2">
      <c r="A10" s="6" t="s">
        <v>7</v>
      </c>
      <c r="B10" s="5">
        <f>B9/B2</f>
        <v>1.5670879956413704E-2</v>
      </c>
      <c r="C10" s="5">
        <f>C9/C2</f>
        <v>1.9410083217179339E-2</v>
      </c>
      <c r="D10" s="5">
        <f>D9/D2</f>
        <v>1.1607650636668394E-2</v>
      </c>
      <c r="E10" s="5">
        <f>E9/E2</f>
        <v>1.4636044109983828E-2</v>
      </c>
      <c r="F10" s="12"/>
    </row>
    <row r="11" spans="1:12" x14ac:dyDescent="0.2">
      <c r="A11" s="6"/>
      <c r="B11" s="3"/>
      <c r="C11" s="3"/>
      <c r="D11" s="3"/>
      <c r="E11" s="3"/>
    </row>
    <row r="12" spans="1:12" x14ac:dyDescent="0.2">
      <c r="A12" s="6" t="s">
        <v>12</v>
      </c>
      <c r="B12" s="8">
        <v>2.8056000000000001E-2</v>
      </c>
      <c r="C12" s="8">
        <v>2.5000000000000001E-2</v>
      </c>
      <c r="D12" s="8">
        <v>4.1000000000000002E-2</v>
      </c>
      <c r="E12" s="8">
        <v>3.5000000000000003E-2</v>
      </c>
    </row>
    <row r="13" spans="1:12" x14ac:dyDescent="0.2">
      <c r="A13" s="6" t="s">
        <v>9</v>
      </c>
      <c r="B13" s="1">
        <f>$H$3*($H$2*ATAN(0.001*B12))</f>
        <v>8.9560932418713034E-20</v>
      </c>
      <c r="C13" s="1">
        <f>$H$3*($H$2*ATAN(0.001*C12))</f>
        <v>7.9805507220873854E-20</v>
      </c>
      <c r="D13" s="1">
        <f>$H$3*($H$2*ATAN(0.001*D12))</f>
        <v>1.3088103179616302E-19</v>
      </c>
      <c r="E13" s="1">
        <f>$H$3*($H$2*ATAN(0.001*E12))</f>
        <v>1.1172771008687786E-19</v>
      </c>
      <c r="F13" s="1"/>
      <c r="G13" s="1"/>
      <c r="H13" s="1"/>
    </row>
    <row r="14" spans="1:12" x14ac:dyDescent="0.2">
      <c r="A14" s="6" t="s">
        <v>10</v>
      </c>
      <c r="B14" s="5">
        <f>B13/B2</f>
        <v>6.5904120965263852E-2</v>
      </c>
      <c r="C14" s="5">
        <f>C13/C2</f>
        <v>6.4382229166262364E-2</v>
      </c>
      <c r="D14" s="5">
        <f>D13/D2</f>
        <v>6.2775507287217272E-2</v>
      </c>
      <c r="E14" s="5">
        <f>E13/E2</f>
        <v>6.5120697001506009E-2</v>
      </c>
      <c r="F14" s="3"/>
    </row>
    <row r="15" spans="1:12" x14ac:dyDescent="0.2">
      <c r="A15" s="6"/>
    </row>
    <row r="16" spans="1:12" x14ac:dyDescent="0.2">
      <c r="A16" s="6" t="s">
        <v>17</v>
      </c>
      <c r="B16" s="13">
        <v>7.6947000000000002E-2</v>
      </c>
      <c r="C16" s="13">
        <v>6.5762879999999996E-2</v>
      </c>
      <c r="D16" s="13">
        <v>5.5164999999999999E-2</v>
      </c>
      <c r="E16" s="13">
        <v>3.970982E-2</v>
      </c>
    </row>
    <row r="17" spans="1:10" x14ac:dyDescent="0.2">
      <c r="A17" s="6" t="s">
        <v>16</v>
      </c>
      <c r="B17" s="1">
        <f>$H$3*($H$2*ATAN(0.001*B16))</f>
        <v>2.4563177413137433E-19</v>
      </c>
      <c r="C17" s="1">
        <f>$H$3*($H$2*ATAN(0.001*C16))</f>
        <v>2.0992959952932228E-19</v>
      </c>
      <c r="D17" s="1">
        <f>$H$3*($H$2*ATAN(0.001*D16))</f>
        <v>1.7609883209163421E-19</v>
      </c>
      <c r="E17" s="1">
        <f>$H$3*($H$2*ATAN(0.001*E16))</f>
        <v>1.267624930297636E-19</v>
      </c>
      <c r="F17" s="1"/>
    </row>
    <row r="18" spans="1:10" x14ac:dyDescent="0.2">
      <c r="A18" s="6" t="s">
        <v>18</v>
      </c>
      <c r="B18" s="4">
        <f>B17/B2</f>
        <v>0.18075008508826199</v>
      </c>
      <c r="C18" s="4">
        <f>C17/C2</f>
        <v>0.16935843222287483</v>
      </c>
      <c r="D18" s="5">
        <f>D17/D2</f>
        <v>8.4463679461632413E-2</v>
      </c>
      <c r="E18" s="5">
        <f>E17/E2</f>
        <v>7.3883747311458275E-2</v>
      </c>
      <c r="F18" s="3"/>
      <c r="I18" s="1"/>
      <c r="J18" s="1"/>
    </row>
    <row r="19" spans="1:10" x14ac:dyDescent="0.2">
      <c r="A19" s="6"/>
    </row>
    <row r="20" spans="1:10" x14ac:dyDescent="0.2">
      <c r="A20" s="6" t="s">
        <v>22</v>
      </c>
    </row>
    <row r="21" spans="1:10" x14ac:dyDescent="0.2">
      <c r="A21" s="6" t="s">
        <v>19</v>
      </c>
      <c r="B21" s="11">
        <f>SQRT(B17^2+B13^2+B9^2)</f>
        <v>2.6231593847387374E-19</v>
      </c>
      <c r="C21" s="1">
        <f>SQRT(C17^2+C13^2+C9^2)</f>
        <v>2.2587216668053912E-19</v>
      </c>
      <c r="D21" s="1">
        <f>SQRT(D17^2+D13^2+D9^2)</f>
        <v>2.2074040136546733E-19</v>
      </c>
      <c r="E21" s="7">
        <f>SQRT(E17^2+E13^2+E9^2)</f>
        <v>1.7082850373687478E-19</v>
      </c>
    </row>
    <row r="22" spans="1:10" x14ac:dyDescent="0.2">
      <c r="A22" s="6" t="s">
        <v>20</v>
      </c>
      <c r="B22" s="4">
        <f>B21/B2</f>
        <v>0.19302725946929467</v>
      </c>
      <c r="C22" s="4">
        <f>C21/C2</f>
        <v>0.18221992571589157</v>
      </c>
      <c r="D22" s="4">
        <f>D21/D2</f>
        <v>0.1058754693810979</v>
      </c>
      <c r="E22" s="5">
        <f>E21/E2</f>
        <v>9.956770099753616E-2</v>
      </c>
    </row>
    <row r="23" spans="1:10" x14ac:dyDescent="0.2">
      <c r="C23" s="1"/>
    </row>
    <row r="24" spans="1:10" x14ac:dyDescent="0.2">
      <c r="B24" s="1">
        <f>B3-B21</f>
        <v>9.615261262544225E-25</v>
      </c>
      <c r="C24" s="1">
        <f t="shared" ref="C24:E24" si="2">C3-C21</f>
        <v>2.050333194608906E-22</v>
      </c>
      <c r="D24" s="1">
        <f t="shared" si="2"/>
        <v>-3.060013654673521E-22</v>
      </c>
      <c r="E24" s="1">
        <f t="shared" si="2"/>
        <v>-7.8500373687477603E-22</v>
      </c>
    </row>
    <row r="29" spans="1:10" x14ac:dyDescent="0.2">
      <c r="B29" s="1"/>
      <c r="C29" s="1"/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F1E83-BE6E-F145-8ADD-5BBBD8D3B9E8}">
  <dimension ref="A1:K16"/>
  <sheetViews>
    <sheetView workbookViewId="0">
      <selection activeCell="B13" sqref="B13"/>
    </sheetView>
  </sheetViews>
  <sheetFormatPr baseColWidth="10" defaultRowHeight="16" x14ac:dyDescent="0.2"/>
  <cols>
    <col min="1" max="1" width="17.33203125" bestFit="1" customWidth="1"/>
    <col min="2" max="2" width="22.6640625" bestFit="1" customWidth="1"/>
    <col min="3" max="3" width="19.83203125" bestFit="1" customWidth="1"/>
    <col min="7" max="7" width="17.33203125" bestFit="1" customWidth="1"/>
  </cols>
  <sheetData>
    <row r="1" spans="1:11" x14ac:dyDescent="0.2">
      <c r="A1" t="s">
        <v>48</v>
      </c>
      <c r="G1" t="s">
        <v>47</v>
      </c>
    </row>
    <row r="2" spans="1:11" x14ac:dyDescent="0.2">
      <c r="A2" t="s">
        <v>23</v>
      </c>
      <c r="B2" t="s">
        <v>0</v>
      </c>
      <c r="C2" t="s">
        <v>1</v>
      </c>
      <c r="D2" t="s">
        <v>2</v>
      </c>
      <c r="E2" t="s">
        <v>3</v>
      </c>
      <c r="G2" t="s">
        <v>23</v>
      </c>
      <c r="H2" t="s">
        <v>0</v>
      </c>
      <c r="I2" t="s">
        <v>1</v>
      </c>
      <c r="J2" t="s">
        <v>2</v>
      </c>
      <c r="K2" t="s">
        <v>3</v>
      </c>
    </row>
    <row r="3" spans="1:11" x14ac:dyDescent="0.2">
      <c r="A3" t="s">
        <v>5</v>
      </c>
      <c r="B3">
        <v>1.3716199999999999E-18</v>
      </c>
      <c r="C3">
        <v>1.2505999999999999E-18</v>
      </c>
      <c r="D3">
        <v>2.0878699999999999E-18</v>
      </c>
      <c r="E3">
        <v>1.7157500000000001E-18</v>
      </c>
      <c r="G3" t="s">
        <v>5</v>
      </c>
      <c r="H3">
        <v>1.39568E-18</v>
      </c>
      <c r="I3">
        <v>1.2767600000000001E-18</v>
      </c>
      <c r="J3">
        <v>2.1938800000000001E-18</v>
      </c>
      <c r="K3">
        <v>1.8048900000000002E-18</v>
      </c>
    </row>
    <row r="4" spans="1:11" x14ac:dyDescent="0.2">
      <c r="A4" t="s">
        <v>4</v>
      </c>
      <c r="B4">
        <v>2.6768599999999998E-19</v>
      </c>
      <c r="C4">
        <v>2.3019399999999998E-19</v>
      </c>
      <c r="D4">
        <v>2.2956400000000002E-19</v>
      </c>
      <c r="E4">
        <v>1.7748999999999999E-19</v>
      </c>
      <c r="G4" t="s">
        <v>4</v>
      </c>
      <c r="H4">
        <v>2.5917300000000002E-19</v>
      </c>
      <c r="I4">
        <v>2.2214800000000002E-19</v>
      </c>
      <c r="J4">
        <v>1.8957E-19</v>
      </c>
      <c r="K4">
        <v>1.38575E-19</v>
      </c>
    </row>
    <row r="5" spans="1:11" x14ac:dyDescent="0.2">
      <c r="A5" t="s">
        <v>8</v>
      </c>
      <c r="B5">
        <v>0.19516046718478877</v>
      </c>
      <c r="C5">
        <v>0.18406684791300176</v>
      </c>
      <c r="D5">
        <v>0.10995129007074196</v>
      </c>
      <c r="E5">
        <v>0.1034474719510418</v>
      </c>
      <c r="G5" t="s">
        <v>8</v>
      </c>
      <c r="H5">
        <v>0.18569657801215181</v>
      </c>
      <c r="I5">
        <v>0.17399354616372695</v>
      </c>
      <c r="J5">
        <v>8.6408554706729632E-2</v>
      </c>
      <c r="K5">
        <v>7.67775321487736E-2</v>
      </c>
    </row>
    <row r="7" spans="1:11" x14ac:dyDescent="0.2">
      <c r="A7" t="s">
        <v>36</v>
      </c>
      <c r="B7">
        <v>7.7165999999999998E-2</v>
      </c>
      <c r="C7">
        <v>6.5948000000000007E-2</v>
      </c>
      <c r="D7">
        <v>5.5322000000000003E-2</v>
      </c>
      <c r="E7">
        <v>3.9819E-2</v>
      </c>
      <c r="G7" t="s">
        <v>36</v>
      </c>
      <c r="H7">
        <v>8.0547999999999995E-2</v>
      </c>
      <c r="I7">
        <v>6.8843000000000001E-2</v>
      </c>
      <c r="J7">
        <v>5.7750000000000003E-2</v>
      </c>
      <c r="K7">
        <v>4.1577000000000003E-2</v>
      </c>
    </row>
    <row r="8" spans="1:11" x14ac:dyDescent="0.2">
      <c r="A8" t="s">
        <v>37</v>
      </c>
      <c r="B8">
        <v>2.4633200000000002E-19</v>
      </c>
      <c r="C8">
        <v>2.1052100000000001E-19</v>
      </c>
      <c r="D8">
        <v>1.76599E-19</v>
      </c>
      <c r="E8">
        <v>1.27111E-19</v>
      </c>
      <c r="G8" t="s">
        <v>37</v>
      </c>
      <c r="H8">
        <v>2.5712599999999998E-19</v>
      </c>
      <c r="I8">
        <v>2.1976199999999999E-19</v>
      </c>
      <c r="J8">
        <v>1.8435000000000001E-19</v>
      </c>
      <c r="K8">
        <v>1.32722E-19</v>
      </c>
    </row>
    <row r="9" spans="1:11" x14ac:dyDescent="0.2">
      <c r="A9" t="s">
        <v>38</v>
      </c>
      <c r="B9">
        <v>0.17959201528120036</v>
      </c>
      <c r="C9">
        <v>0.16833599872061414</v>
      </c>
      <c r="D9">
        <v>8.4583331337679077E-2</v>
      </c>
      <c r="E9">
        <v>7.4084802564476179E-2</v>
      </c>
      <c r="G9" t="s">
        <v>38</v>
      </c>
      <c r="H9">
        <v>0.18422990943482745</v>
      </c>
      <c r="I9">
        <v>0.1721247532817444</v>
      </c>
      <c r="J9">
        <v>8.4029208525534665E-2</v>
      </c>
      <c r="K9">
        <v>7.3534675243366626E-2</v>
      </c>
    </row>
    <row r="11" spans="1:11" x14ac:dyDescent="0.2">
      <c r="B11" s="44" t="s">
        <v>51</v>
      </c>
      <c r="C11" s="44"/>
    </row>
    <row r="12" spans="1:11" x14ac:dyDescent="0.2">
      <c r="A12" t="s">
        <v>23</v>
      </c>
      <c r="B12" t="s">
        <v>49</v>
      </c>
      <c r="C12" t="s">
        <v>50</v>
      </c>
    </row>
    <row r="13" spans="1:11" x14ac:dyDescent="0.2">
      <c r="A13" t="s">
        <v>0</v>
      </c>
    </row>
    <row r="14" spans="1:11" x14ac:dyDescent="0.2">
      <c r="A14" t="s">
        <v>1</v>
      </c>
    </row>
    <row r="15" spans="1:11" x14ac:dyDescent="0.2">
      <c r="A15" t="s">
        <v>33</v>
      </c>
    </row>
    <row r="16" spans="1:11" x14ac:dyDescent="0.2">
      <c r="A16" t="s">
        <v>34</v>
      </c>
    </row>
  </sheetData>
  <mergeCells count="1">
    <mergeCell ref="B11:C1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Run-1 (v2) (acceptance reweigh)</vt:lpstr>
      <vt:lpstr>Run-1 (v2) (HS refit)</vt:lpstr>
      <vt:lpstr>Run-1 (v2) (HS reweight refit)</vt:lpstr>
      <vt:lpstr>Run-1 (v2) (HS reweight)</vt:lpstr>
      <vt:lpstr>Run-1 (v2) (HS)</vt:lpstr>
      <vt:lpstr>Run-1 (v2)</vt:lpstr>
      <vt:lpstr>Run-1 (v1)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2022-03-22T10:24:24Z</cp:lastPrinted>
  <dcterms:created xsi:type="dcterms:W3CDTF">2021-12-17T14:34:16Z</dcterms:created>
  <dcterms:modified xsi:type="dcterms:W3CDTF">2022-03-22T10:26:05Z</dcterms:modified>
</cp:coreProperties>
</file>