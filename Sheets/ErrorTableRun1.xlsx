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ED92E986-E6B2-7A4A-92A3-97ADFC3C9EF7}" xr6:coauthVersionLast="47" xr6:coauthVersionMax="47" xr10:uidLastSave="{00000000-0000-0000-0000-000000000000}"/>
  <bookViews>
    <workbookView xWindow="0" yWindow="500" windowWidth="28800" windowHeight="17500" xr2:uid="{C29EF40E-6384-C447-AF4D-92516C1B0710}"/>
  </bookViews>
  <sheets>
    <sheet name="Run-1 (v2) (HS refit)" sheetId="14" r:id="rId1"/>
    <sheet name="Run-1 (v2) (HS reweight refit)" sheetId="13" r:id="rId2"/>
    <sheet name="Run-1 (v2) (HS reweight)" sheetId="12" r:id="rId3"/>
    <sheet name="Run-1 (v2) (HS)" sheetId="11" r:id="rId4"/>
    <sheet name="Run-1 (v2)" sheetId="6" r:id="rId5"/>
    <sheet name="Run-1 (v1)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14" l="1"/>
  <c r="F18" i="14"/>
  <c r="F17" i="14"/>
  <c r="E17" i="14"/>
  <c r="D17" i="14"/>
  <c r="C17" i="14"/>
  <c r="C18" i="14" s="1"/>
  <c r="B17" i="14"/>
  <c r="E16" i="14"/>
  <c r="D16" i="14"/>
  <c r="C16" i="14"/>
  <c r="B16" i="14"/>
  <c r="F13" i="14"/>
  <c r="E13" i="14"/>
  <c r="D13" i="14"/>
  <c r="C13" i="14"/>
  <c r="C21" i="14" s="1"/>
  <c r="B13" i="14"/>
  <c r="E12" i="14"/>
  <c r="D12" i="14"/>
  <c r="C12" i="14"/>
  <c r="B12" i="14"/>
  <c r="F9" i="14"/>
  <c r="E9" i="14"/>
  <c r="E10" i="14" s="1"/>
  <c r="D9" i="14"/>
  <c r="C9" i="14"/>
  <c r="B9" i="14"/>
  <c r="E8" i="14"/>
  <c r="D8" i="14"/>
  <c r="C8" i="14"/>
  <c r="B8" i="14"/>
  <c r="D4" i="14"/>
  <c r="E3" i="14"/>
  <c r="D3" i="14"/>
  <c r="C3" i="14"/>
  <c r="B3" i="14"/>
  <c r="E2" i="14"/>
  <c r="D2" i="14"/>
  <c r="C2" i="14"/>
  <c r="B2" i="14"/>
  <c r="B14" i="14" s="1"/>
  <c r="B27" i="13"/>
  <c r="F18" i="13"/>
  <c r="F17" i="13"/>
  <c r="E17" i="13"/>
  <c r="D17" i="13"/>
  <c r="C17" i="13"/>
  <c r="B17" i="13"/>
  <c r="E16" i="13"/>
  <c r="D16" i="13"/>
  <c r="C16" i="13"/>
  <c r="B16" i="13"/>
  <c r="F13" i="13"/>
  <c r="E13" i="13"/>
  <c r="E14" i="13" s="1"/>
  <c r="D13" i="13"/>
  <c r="C13" i="13"/>
  <c r="B13" i="13"/>
  <c r="E12" i="13"/>
  <c r="D12" i="13"/>
  <c r="C12" i="13"/>
  <c r="B12" i="13"/>
  <c r="F9" i="13"/>
  <c r="E9" i="13"/>
  <c r="E10" i="13" s="1"/>
  <c r="D9" i="13"/>
  <c r="C9" i="13"/>
  <c r="C10" i="13" s="1"/>
  <c r="B9" i="13"/>
  <c r="E8" i="13"/>
  <c r="D8" i="13"/>
  <c r="C8" i="13"/>
  <c r="B8" i="13"/>
  <c r="E3" i="13"/>
  <c r="D3" i="13"/>
  <c r="C3" i="13"/>
  <c r="B3" i="13"/>
  <c r="F3" i="13" s="1"/>
  <c r="E2" i="13"/>
  <c r="D2" i="13"/>
  <c r="D14" i="13" s="1"/>
  <c r="C2" i="13"/>
  <c r="B2" i="13"/>
  <c r="F2" i="13" s="1"/>
  <c r="B27" i="12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C4" i="14" l="1"/>
  <c r="B21" i="14"/>
  <c r="F10" i="14"/>
  <c r="D14" i="14"/>
  <c r="B4" i="14"/>
  <c r="B18" i="14"/>
  <c r="C10" i="14"/>
  <c r="E14" i="14"/>
  <c r="D18" i="14"/>
  <c r="E26" i="14"/>
  <c r="D10" i="14"/>
  <c r="F14" i="14"/>
  <c r="E21" i="14"/>
  <c r="E22" i="14" s="1"/>
  <c r="B26" i="14"/>
  <c r="B22" i="14"/>
  <c r="C26" i="14"/>
  <c r="C22" i="14"/>
  <c r="F3" i="14"/>
  <c r="B10" i="14"/>
  <c r="C14" i="14"/>
  <c r="F12" i="14" s="1"/>
  <c r="E18" i="14"/>
  <c r="F16" i="14" s="1"/>
  <c r="D21" i="14"/>
  <c r="D22" i="14" s="1"/>
  <c r="E4" i="14"/>
  <c r="F4" i="14" s="1"/>
  <c r="F2" i="14"/>
  <c r="B4" i="13"/>
  <c r="D10" i="13"/>
  <c r="F10" i="13"/>
  <c r="B14" i="13"/>
  <c r="E21" i="13"/>
  <c r="E22" i="13" s="1"/>
  <c r="C14" i="13"/>
  <c r="B18" i="13"/>
  <c r="F16" i="13" s="1"/>
  <c r="B10" i="13"/>
  <c r="F14" i="13"/>
  <c r="C21" i="13"/>
  <c r="C22" i="13" s="1"/>
  <c r="D21" i="13"/>
  <c r="D22" i="13" s="1"/>
  <c r="F8" i="13"/>
  <c r="C4" i="13"/>
  <c r="D4" i="13"/>
  <c r="C18" i="13"/>
  <c r="B21" i="13"/>
  <c r="E4" i="13"/>
  <c r="D18" i="13"/>
  <c r="E18" i="13"/>
  <c r="E26" i="12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8" i="14" l="1"/>
  <c r="D26" i="14"/>
  <c r="C26" i="13"/>
  <c r="E26" i="13"/>
  <c r="F12" i="13"/>
  <c r="D26" i="13"/>
  <c r="F4" i="13"/>
  <c r="B26" i="13"/>
  <c r="B22" i="13"/>
  <c r="F4" i="12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<sst xmlns="http://schemas.openxmlformats.org/spreadsheetml/2006/main" count="469" uniqueCount="42">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</sst>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4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11" fontId="3" fillId="0" borderId="0" xfId="0" applyNumberFormat="1" applyFont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4925-A506-0B4B-AB86-443EF5CF787E}">
  <dimension ref="A1:R29"/>
  <sheetViews>
    <sheetView tabSelected="1" topLeftCell="G1" zoomScale="140" zoomScaleNormal="140" workbookViewId="0">
      <selection activeCell="R24" sqref="H2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1.3716199999999999E-18</v>
      </c>
      <c r="C2" s="22">
        <f>N12</f>
        <v>1.2505999999999999E-18</v>
      </c>
      <c r="D2" s="22">
        <f>N18</f>
        <v>2.0878699999999999E-18</v>
      </c>
      <c r="E2" s="22">
        <f>N24</f>
        <v>1.7157500000000001E-18</v>
      </c>
      <c r="F2" s="1">
        <f>SQRT(B2^2+C2^2+D2^2+E2^2)/4</f>
        <v>8.1961656369762313E-19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2.6768599999999998E-19</v>
      </c>
      <c r="C3" s="24">
        <f>R12</f>
        <v>2.3019399999999998E-19</v>
      </c>
      <c r="D3" s="24">
        <f>R18</f>
        <v>2.2956400000000002E-19</v>
      </c>
      <c r="E3" s="24">
        <f>R24</f>
        <v>1.7748999999999999E-19</v>
      </c>
      <c r="F3" s="1">
        <f t="shared" ref="F3:F4" si="0">SQRT(B3^2+C3^2+D3^2+E3^2)/4</f>
        <v>1.1424956302651664E-19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0.19516046718478877</v>
      </c>
      <c r="C4" s="23">
        <f t="shared" ref="C4:E4" si="1">C3/C2</f>
        <v>0.18406684791300176</v>
      </c>
      <c r="D4" s="23">
        <f t="shared" si="1"/>
        <v>0.10995129007074196</v>
      </c>
      <c r="E4" s="28">
        <f t="shared" si="1"/>
        <v>0.1034474719510418</v>
      </c>
      <c r="F4" s="1">
        <f t="shared" si="0"/>
        <v>7.6957325063024037E-2</v>
      </c>
      <c r="H4" t="s">
        <v>30</v>
      </c>
      <c r="I4">
        <v>0.58867899999999995</v>
      </c>
      <c r="J4">
        <v>0.100137</v>
      </c>
      <c r="K4">
        <v>5.0874000000000003E-2</v>
      </c>
      <c r="L4">
        <v>6.6709999999999998E-3</v>
      </c>
      <c r="M4">
        <v>0.11251700000000001</v>
      </c>
      <c r="N4" s="1">
        <v>1.8142800000000002E-18</v>
      </c>
      <c r="O4" s="1">
        <v>3.1965900000000001E-19</v>
      </c>
      <c r="P4" s="1">
        <v>1.6240099999999999E-19</v>
      </c>
      <c r="Q4" s="1">
        <v>2.1296100000000001E-20</v>
      </c>
      <c r="R4" s="1">
        <v>3.5917799999999999E-19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0.28348800000000002</v>
      </c>
      <c r="J5">
        <v>0.118798</v>
      </c>
      <c r="K5">
        <v>8.4625000000000006E-2</v>
      </c>
      <c r="L5">
        <v>6.6709999999999998E-3</v>
      </c>
      <c r="M5">
        <v>0.14601</v>
      </c>
      <c r="N5" s="1">
        <v>8.4004500000000004E-19</v>
      </c>
      <c r="O5" s="1">
        <v>3.7923000000000001E-19</v>
      </c>
      <c r="P5" s="1">
        <v>2.7014200000000002E-19</v>
      </c>
      <c r="Q5" s="1">
        <v>2.1296100000000001E-20</v>
      </c>
      <c r="R5" s="1">
        <v>4.6609699999999999E-19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0.45000800000000002</v>
      </c>
      <c r="J6">
        <v>7.7165999999999998E-2</v>
      </c>
      <c r="K6">
        <v>3.2134999999999997E-2</v>
      </c>
      <c r="L6">
        <v>6.6709999999999998E-3</v>
      </c>
      <c r="M6">
        <v>8.3856E-2</v>
      </c>
      <c r="N6" s="1">
        <v>1.3716199999999999E-18</v>
      </c>
      <c r="O6" s="1">
        <v>2.4633200000000002E-19</v>
      </c>
      <c r="P6" s="1">
        <v>1.0258099999999999E-19</v>
      </c>
      <c r="Q6" s="1">
        <v>2.1296100000000001E-20</v>
      </c>
      <c r="R6" s="1">
        <v>2.6768599999999998E-19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7.7449531752074984E-3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1.5526239045799858E-2</v>
      </c>
      <c r="C10" s="28">
        <f>C9/C2</f>
        <v>1.9238685430993125E-2</v>
      </c>
      <c r="D10" s="28">
        <f>D9/D2</f>
        <v>1.1591191022429559E-2</v>
      </c>
      <c r="E10" s="28">
        <f>E9/E2</f>
        <v>1.463564039049978E-2</v>
      </c>
      <c r="F10" s="3">
        <f>SQRT(B12^2+C12^2+D12^2+E12^2)/4</f>
        <v>1.8241930404291097E-2</v>
      </c>
      <c r="H10" t="s">
        <v>30</v>
      </c>
      <c r="I10">
        <v>0.33917000000000003</v>
      </c>
      <c r="J10">
        <v>8.5524000000000003E-2</v>
      </c>
      <c r="K10">
        <v>2.9915000000000001E-2</v>
      </c>
      <c r="L10">
        <v>7.5370000000000003E-3</v>
      </c>
      <c r="M10">
        <v>9.0917999999999999E-2</v>
      </c>
      <c r="N10" s="1">
        <v>1.01566E-18</v>
      </c>
      <c r="O10" s="1">
        <v>2.7301300000000002E-19</v>
      </c>
      <c r="P10" s="1">
        <v>9.5494899999999998E-20</v>
      </c>
      <c r="Q10" s="1">
        <v>2.4059899999999999E-20</v>
      </c>
      <c r="R10" s="1">
        <v>2.9023099999999999E-19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0.47983799999999999</v>
      </c>
      <c r="J11">
        <v>0.10159700000000001</v>
      </c>
      <c r="K11">
        <v>0.10042</v>
      </c>
      <c r="L11">
        <v>7.5370000000000003E-3</v>
      </c>
      <c r="M11">
        <v>0.14304900000000001</v>
      </c>
      <c r="N11" s="1">
        <v>1.4647E-18</v>
      </c>
      <c r="O11" s="1">
        <v>3.2432199999999998E-19</v>
      </c>
      <c r="P11" s="1">
        <v>3.2056200000000002E-19</v>
      </c>
      <c r="Q11" s="1">
        <v>2.4059899999999999E-20</v>
      </c>
      <c r="R11" s="1">
        <v>4.5664400000000003E-19</v>
      </c>
    </row>
    <row r="12" spans="1:18" x14ac:dyDescent="0.2">
      <c r="A12" s="25" t="s">
        <v>12</v>
      </c>
      <c r="B12" s="24">
        <f>K6</f>
        <v>3.2134999999999997E-2</v>
      </c>
      <c r="C12" s="22">
        <f>K12</f>
        <v>2.8178000000000002E-2</v>
      </c>
      <c r="D12" s="22">
        <f>K18</f>
        <v>4.5317000000000003E-2</v>
      </c>
      <c r="E12" s="22">
        <f>K24</f>
        <v>3.7999999999999999E-2</v>
      </c>
      <c r="F12" s="1">
        <f>SQRT(B14^2+C14^2+D14^2+E14^2)/4</f>
        <v>3.5851933763461574E-2</v>
      </c>
      <c r="H12" t="s">
        <v>32</v>
      </c>
      <c r="I12">
        <v>0.412769</v>
      </c>
      <c r="J12">
        <v>6.5948000000000007E-2</v>
      </c>
      <c r="K12">
        <v>2.8178000000000002E-2</v>
      </c>
      <c r="L12">
        <v>7.5370000000000003E-3</v>
      </c>
      <c r="M12">
        <v>7.2110999999999995E-2</v>
      </c>
      <c r="N12" s="1">
        <v>1.2505999999999999E-18</v>
      </c>
      <c r="O12" s="1">
        <v>2.1052100000000001E-19</v>
      </c>
      <c r="P12" s="1">
        <v>8.9950100000000005E-20</v>
      </c>
      <c r="Q12" s="1">
        <v>2.4059899999999999E-20</v>
      </c>
      <c r="R12" s="1">
        <v>2.3019399999999998E-19</v>
      </c>
    </row>
    <row r="13" spans="1:18" x14ac:dyDescent="0.2">
      <c r="A13" s="25" t="s">
        <v>9</v>
      </c>
      <c r="B13" s="24">
        <f>P6</f>
        <v>1.0258099999999999E-19</v>
      </c>
      <c r="C13" s="24">
        <f>P12</f>
        <v>8.9950100000000005E-20</v>
      </c>
      <c r="D13" s="24">
        <f>P18</f>
        <v>1.4466100000000001E-19</v>
      </c>
      <c r="E13" s="24">
        <f>P24</f>
        <v>1.21305E-19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7.4788206646155639E-2</v>
      </c>
      <c r="C14" s="28">
        <f>C13/C2</f>
        <v>7.1925555733248048E-2</v>
      </c>
      <c r="D14" s="28">
        <f>D13/D2</f>
        <v>6.928640193115472E-2</v>
      </c>
      <c r="E14" s="28">
        <f>E13/E2</f>
        <v>7.070085968235465E-2</v>
      </c>
      <c r="F14" s="3">
        <f>SQRT(B16^2+C16^2+D16^2+E16^2)/4</f>
        <v>3.0567350540445928E-2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7.7165999999999998E-2</v>
      </c>
      <c r="C16" s="22">
        <f>J12</f>
        <v>6.5948000000000007E-2</v>
      </c>
      <c r="D16" s="22">
        <f>J18</f>
        <v>5.5322000000000003E-2</v>
      </c>
      <c r="E16" s="22">
        <f>J24</f>
        <v>3.9819E-2</v>
      </c>
      <c r="F16" s="1">
        <f>SQRT(B18^2+C18^2+D18^2+E18^2)/4</f>
        <v>6.765408262312525E-2</v>
      </c>
      <c r="H16" t="s">
        <v>30</v>
      </c>
      <c r="I16">
        <v>0.61221400000000004</v>
      </c>
      <c r="J16">
        <v>7.1391999999999997E-2</v>
      </c>
      <c r="K16">
        <v>5.1575000000000003E-2</v>
      </c>
      <c r="L16">
        <v>7.5810000000000001E-3</v>
      </c>
      <c r="M16">
        <v>8.8399000000000005E-2</v>
      </c>
      <c r="N16" s="1">
        <v>1.86693E-18</v>
      </c>
      <c r="O16" s="1">
        <v>2.2790000000000001E-19</v>
      </c>
      <c r="P16" s="1">
        <v>1.64639E-19</v>
      </c>
      <c r="Q16" s="1">
        <v>2.4200900000000001E-20</v>
      </c>
      <c r="R16" s="1">
        <v>2.8218800000000001E-19</v>
      </c>
    </row>
    <row r="17" spans="1:18" x14ac:dyDescent="0.2">
      <c r="A17" s="25" t="s">
        <v>37</v>
      </c>
      <c r="B17" s="24">
        <f>O6</f>
        <v>2.4633200000000002E-19</v>
      </c>
      <c r="C17" s="24">
        <f>O12</f>
        <v>2.1052100000000001E-19</v>
      </c>
      <c r="D17" s="24">
        <f>O18</f>
        <v>1.76599E-19</v>
      </c>
      <c r="E17" s="24">
        <f>O24</f>
        <v>1.27111E-19</v>
      </c>
      <c r="F17" s="1">
        <f>SQRT(B19^2+C19^2+D19^2+E19^2)/4</f>
        <v>0</v>
      </c>
      <c r="H17" t="s">
        <v>31</v>
      </c>
      <c r="I17">
        <v>0.75249699999999997</v>
      </c>
      <c r="J17">
        <v>8.5708999999999994E-2</v>
      </c>
      <c r="K17">
        <v>0.116412</v>
      </c>
      <c r="L17">
        <v>7.5810000000000001E-3</v>
      </c>
      <c r="M17">
        <v>0.14476</v>
      </c>
      <c r="N17" s="1">
        <v>2.31475E-18</v>
      </c>
      <c r="O17" s="1">
        <v>2.7360300000000001E-19</v>
      </c>
      <c r="P17" s="1">
        <v>3.7161400000000001E-19</v>
      </c>
      <c r="Q17" s="1">
        <v>2.4200900000000001E-20</v>
      </c>
      <c r="R17" s="1">
        <v>4.62105E-19</v>
      </c>
    </row>
    <row r="18" spans="1:18" x14ac:dyDescent="0.2">
      <c r="A18" s="20" t="s">
        <v>38</v>
      </c>
      <c r="B18" s="23">
        <f>B17/B2</f>
        <v>0.17959201528120036</v>
      </c>
      <c r="C18" s="23">
        <f>C17/C2</f>
        <v>0.16833599872061414</v>
      </c>
      <c r="D18" s="28">
        <f>D17/D2</f>
        <v>8.4583331337679077E-2</v>
      </c>
      <c r="E18" s="28">
        <f>E17/E2</f>
        <v>7.4084802564476179E-2</v>
      </c>
      <c r="F18" s="3">
        <f>SQRT(B20^2+C20^2+D20^2+E20^2)/4</f>
        <v>0</v>
      </c>
      <c r="H18" t="s">
        <v>32</v>
      </c>
      <c r="I18">
        <v>0.68142400000000003</v>
      </c>
      <c r="J18">
        <v>5.5322000000000003E-2</v>
      </c>
      <c r="K18">
        <v>4.5317000000000003E-2</v>
      </c>
      <c r="L18">
        <v>7.5810000000000001E-3</v>
      </c>
      <c r="M18">
        <v>7.1914000000000006E-2</v>
      </c>
      <c r="N18" s="1">
        <v>2.0878699999999999E-18</v>
      </c>
      <c r="O18" s="1">
        <v>1.76599E-19</v>
      </c>
      <c r="P18" s="1">
        <v>1.4466100000000001E-19</v>
      </c>
      <c r="Q18" s="1">
        <v>2.4200900000000001E-20</v>
      </c>
      <c r="R18" s="1">
        <v>2.2956400000000002E-19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2.6768608417362678E-19</v>
      </c>
      <c r="C21" s="22">
        <f>SQRT(C17^2+C13^2+C9^2)</f>
        <v>2.3019337679225268E-19</v>
      </c>
      <c r="D21" s="22">
        <f>SQRT(D17^2+D13^2+D9^2)</f>
        <v>2.2956414197955653E-19</v>
      </c>
      <c r="E21" s="22">
        <f>SQRT(E17^2+E13^2+E9^2)</f>
        <v>1.7748993405038497E-19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0.1951605285528257</v>
      </c>
      <c r="C22" s="23">
        <f>C21/C2</f>
        <v>0.18406634958600088</v>
      </c>
      <c r="D22" s="23">
        <f>D21/D2</f>
        <v>0.1099513580728477</v>
      </c>
      <c r="E22" s="28">
        <f>E21/E2</f>
        <v>0.10344743351326531</v>
      </c>
      <c r="H22" t="s">
        <v>30</v>
      </c>
      <c r="I22">
        <v>0.53028699999999995</v>
      </c>
      <c r="J22">
        <v>5.1131000000000003E-2</v>
      </c>
      <c r="K22">
        <v>4.5518999999999997E-2</v>
      </c>
      <c r="L22">
        <v>7.8659999999999997E-3</v>
      </c>
      <c r="M22">
        <v>6.8906999999999996E-2</v>
      </c>
      <c r="N22" s="1">
        <v>1.5924799999999999E-18</v>
      </c>
      <c r="O22" s="1">
        <v>1.6322000000000001E-19</v>
      </c>
      <c r="P22" s="1">
        <v>1.4530599999999999E-19</v>
      </c>
      <c r="Q22" s="1">
        <v>2.5111099999999999E-20</v>
      </c>
      <c r="R22" s="1">
        <v>2.1996600000000002E-19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0.61167099999999996</v>
      </c>
      <c r="J23">
        <v>6.2063E-2</v>
      </c>
      <c r="K23">
        <v>0.10617799999999999</v>
      </c>
      <c r="L23">
        <v>7.8659999999999997E-3</v>
      </c>
      <c r="M23">
        <v>0.123238</v>
      </c>
      <c r="N23" s="1">
        <v>1.8522799999999999E-18</v>
      </c>
      <c r="O23" s="1">
        <v>1.9811999999999999E-19</v>
      </c>
      <c r="P23" s="1">
        <v>3.3894500000000002E-19</v>
      </c>
      <c r="Q23" s="1">
        <v>2.5111099999999999E-20</v>
      </c>
      <c r="R23" s="1">
        <v>3.9340299999999999E-19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0.56890099999999999</v>
      </c>
      <c r="J24">
        <v>3.9819E-2</v>
      </c>
      <c r="K24">
        <v>3.7999999999999999E-2</v>
      </c>
      <c r="L24">
        <v>7.8659999999999997E-3</v>
      </c>
      <c r="M24">
        <v>5.5600999999999998E-2</v>
      </c>
      <c r="N24" s="1">
        <v>1.7157500000000001E-18</v>
      </c>
      <c r="O24" s="1">
        <v>1.27111E-19</v>
      </c>
      <c r="P24" s="1">
        <v>1.21305E-19</v>
      </c>
      <c r="Q24" s="1">
        <v>2.5111099999999999E-20</v>
      </c>
      <c r="R24" s="1">
        <v>1.7748999999999999E-19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-8.4173626799013351E-26</v>
      </c>
      <c r="C26" s="1">
        <f>C3-C21</f>
        <v>6.2320774729607944E-25</v>
      </c>
      <c r="D26" s="1">
        <f>D3-D21</f>
        <v>-1.4197955651134025E-25</v>
      </c>
      <c r="E26" s="1">
        <f>E3-E21</f>
        <v>6.594961501712511E-26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A833-57C4-DC4E-AC5C-0BDB90378BCB}">
  <dimension ref="A1:R29"/>
  <sheetViews>
    <sheetView zoomScale="140" zoomScaleNormal="140" workbookViewId="0">
      <selection activeCell="R24" sqref="H2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1.49629E-18</v>
      </c>
      <c r="C2" s="22">
        <f>N12</f>
        <v>1.37313E-18</v>
      </c>
      <c r="D2" s="22">
        <f>N18</f>
        <v>2.2958900000000001E-18</v>
      </c>
      <c r="E2" s="22">
        <f>N24</f>
        <v>1.8930599999999998E-18</v>
      </c>
      <c r="F2" s="1">
        <f>SQRT(B2^2+C2^2+D2^2+E2^2)/4</f>
        <v>9.0066492162388003E-19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2.8764699999999999E-19</v>
      </c>
      <c r="C3" s="24">
        <f>R12</f>
        <v>2.4680000000000001E-19</v>
      </c>
      <c r="D3" s="24">
        <f>R18</f>
        <v>2.3704400000000001E-19</v>
      </c>
      <c r="E3" s="24">
        <f>R24</f>
        <v>1.8167600000000001E-19</v>
      </c>
      <c r="F3" s="1">
        <f t="shared" ref="F3:F4" si="0">SQRT(B3^2+C3^2+D3^2+E3^2)/4</f>
        <v>1.2063557298766603E-19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0.19224014061445308</v>
      </c>
      <c r="C4" s="23">
        <f t="shared" ref="C4:E4" si="1">C3/C2</f>
        <v>0.17973534916577455</v>
      </c>
      <c r="D4" s="23">
        <f t="shared" si="1"/>
        <v>0.10324710678647496</v>
      </c>
      <c r="E4" s="28">
        <f t="shared" si="1"/>
        <v>9.5969488552924906E-2</v>
      </c>
      <c r="F4" s="1">
        <f t="shared" si="0"/>
        <v>7.4637111745806173E-2</v>
      </c>
      <c r="H4" t="s">
        <v>30</v>
      </c>
      <c r="I4">
        <v>0.654451</v>
      </c>
      <c r="J4">
        <v>0.111583</v>
      </c>
      <c r="K4">
        <v>4.8462999999999999E-2</v>
      </c>
      <c r="L4">
        <v>6.6709999999999998E-3</v>
      </c>
      <c r="M4">
        <v>0.121836</v>
      </c>
      <c r="N4" s="1">
        <v>2.0242400000000001E-18</v>
      </c>
      <c r="O4" s="1">
        <v>3.5619899999999999E-19</v>
      </c>
      <c r="P4" s="1">
        <v>1.54705E-19</v>
      </c>
      <c r="Q4" s="1">
        <v>2.1296100000000001E-20</v>
      </c>
      <c r="R4" s="1">
        <v>3.8892800000000001E-19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0.30299100000000001</v>
      </c>
      <c r="J5">
        <v>0.126971</v>
      </c>
      <c r="K5">
        <v>5.0055000000000002E-2</v>
      </c>
      <c r="L5">
        <v>6.6709999999999998E-3</v>
      </c>
      <c r="M5">
        <v>0.13664499999999999</v>
      </c>
      <c r="N5" s="1">
        <v>9.0230500000000007E-19</v>
      </c>
      <c r="O5" s="1">
        <v>4.0532099999999998E-19</v>
      </c>
      <c r="P5" s="1">
        <v>1.5978799999999999E-19</v>
      </c>
      <c r="Q5" s="1">
        <v>2.1296100000000001E-20</v>
      </c>
      <c r="R5" s="1">
        <v>4.3620000000000004E-19</v>
      </c>
    </row>
    <row r="6" spans="1:18" x14ac:dyDescent="0.2">
      <c r="A6" s="39" t="s">
        <v>21</v>
      </c>
      <c r="E6" s="38"/>
      <c r="F6" s="1"/>
      <c r="H6" t="s">
        <v>32</v>
      </c>
      <c r="I6">
        <v>0.489064</v>
      </c>
      <c r="J6">
        <v>8.4459999999999993E-2</v>
      </c>
      <c r="K6">
        <v>3.0686000000000001E-2</v>
      </c>
      <c r="L6">
        <v>6.6709999999999998E-3</v>
      </c>
      <c r="M6">
        <v>9.0108999999999995E-2</v>
      </c>
      <c r="N6" s="1">
        <v>1.49629E-18</v>
      </c>
      <c r="O6" s="1">
        <v>2.69614E-19</v>
      </c>
      <c r="P6" s="1">
        <v>9.7956499999999994E-20</v>
      </c>
      <c r="Q6" s="1">
        <v>2.1296100000000001E-20</v>
      </c>
      <c r="R6" s="1">
        <v>2.8764699999999999E-19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7.0562593169518437E-3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1.4232601968869671E-2</v>
      </c>
      <c r="C10" s="28">
        <f>C9/C2</f>
        <v>1.7521938927850967E-2</v>
      </c>
      <c r="D10" s="28">
        <f>D9/D2</f>
        <v>1.0540966683943918E-2</v>
      </c>
      <c r="E10" s="28">
        <f>E9/E2</f>
        <v>1.3264819921185805E-2</v>
      </c>
      <c r="F10" s="3">
        <f>SQRT(B12^2+C12^2+D12^2+E12^2)/4</f>
        <v>1.7168382695379316E-2</v>
      </c>
      <c r="H10" t="s">
        <v>30</v>
      </c>
      <c r="I10">
        <v>0.37874000000000002</v>
      </c>
      <c r="J10">
        <v>9.5302999999999999E-2</v>
      </c>
      <c r="K10">
        <v>2.8292999999999999E-2</v>
      </c>
      <c r="L10">
        <v>7.5370000000000003E-3</v>
      </c>
      <c r="M10">
        <v>9.9699999999999997E-2</v>
      </c>
      <c r="N10" s="1">
        <v>1.14197E-18</v>
      </c>
      <c r="O10" s="1">
        <v>3.0422899999999999E-19</v>
      </c>
      <c r="P10" s="1">
        <v>9.0318600000000001E-20</v>
      </c>
      <c r="Q10" s="1">
        <v>2.4059899999999999E-20</v>
      </c>
      <c r="R10" s="1">
        <v>3.1826299999999998E-19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0.51285000000000003</v>
      </c>
      <c r="J11">
        <v>0.108587</v>
      </c>
      <c r="K11">
        <v>5.8909000000000003E-2</v>
      </c>
      <c r="L11">
        <v>7.5370000000000003E-3</v>
      </c>
      <c r="M11">
        <v>0.123767</v>
      </c>
      <c r="N11" s="1">
        <v>1.57008E-18</v>
      </c>
      <c r="O11" s="1">
        <v>3.4663400000000001E-19</v>
      </c>
      <c r="P11" s="1">
        <v>1.88051E-19</v>
      </c>
      <c r="Q11" s="1">
        <v>2.4059899999999999E-20</v>
      </c>
      <c r="R11" s="1">
        <v>3.9509099999999998E-19</v>
      </c>
    </row>
    <row r="12" spans="1:18" x14ac:dyDescent="0.2">
      <c r="A12" s="25" t="s">
        <v>12</v>
      </c>
      <c r="B12" s="24">
        <f>K6</f>
        <v>3.0686000000000001E-2</v>
      </c>
      <c r="C12" s="22">
        <f>K12</f>
        <v>2.6641000000000001E-2</v>
      </c>
      <c r="D12" s="22">
        <f>K18</f>
        <v>4.2286999999999998E-2</v>
      </c>
      <c r="E12" s="22">
        <f>K24</f>
        <v>3.5728000000000003E-2</v>
      </c>
      <c r="F12" s="1">
        <f>SQRT(B14^2+C14^2+D14^2+E14^2)/4</f>
        <v>3.0830559026828703E-2</v>
      </c>
      <c r="H12" t="s">
        <v>32</v>
      </c>
      <c r="I12">
        <v>0.45115100000000002</v>
      </c>
      <c r="J12">
        <v>7.2184999999999999E-2</v>
      </c>
      <c r="K12">
        <v>2.6641000000000001E-2</v>
      </c>
      <c r="L12">
        <v>7.5370000000000003E-3</v>
      </c>
      <c r="M12">
        <v>7.7313000000000007E-2</v>
      </c>
      <c r="N12" s="1">
        <v>1.37313E-18</v>
      </c>
      <c r="O12" s="1">
        <v>2.3043099999999998E-19</v>
      </c>
      <c r="P12" s="1">
        <v>8.5044799999999996E-20</v>
      </c>
      <c r="Q12" s="1">
        <v>2.4059899999999999E-20</v>
      </c>
      <c r="R12" s="1">
        <v>2.4680000000000001E-19</v>
      </c>
    </row>
    <row r="13" spans="1:18" x14ac:dyDescent="0.2">
      <c r="A13" s="25" t="s">
        <v>9</v>
      </c>
      <c r="B13" s="24">
        <f>P6</f>
        <v>9.7956499999999994E-20</v>
      </c>
      <c r="C13" s="24">
        <f>P12</f>
        <v>8.5044799999999996E-20</v>
      </c>
      <c r="D13" s="24">
        <f>P18</f>
        <v>1.3498799999999999E-19</v>
      </c>
      <c r="E13" s="24">
        <f>P24</f>
        <v>1.14051E-19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6.5466253199580299E-2</v>
      </c>
      <c r="C14" s="28">
        <f>C13/C2</f>
        <v>6.1934995229876263E-2</v>
      </c>
      <c r="D14" s="28">
        <f>D13/D2</f>
        <v>5.8795499784397326E-2</v>
      </c>
      <c r="E14" s="28">
        <f>E13/E2</f>
        <v>6.024690184146303E-2</v>
      </c>
      <c r="F14" s="3">
        <f>SQRT(B16^2+C16^2+D16^2+E16^2)/4</f>
        <v>3.3460106530949656E-2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8.4459999999999993E-2</v>
      </c>
      <c r="C16" s="22">
        <f>J12</f>
        <v>7.2184999999999999E-2</v>
      </c>
      <c r="D16" s="22">
        <f>J18</f>
        <v>6.0567999999999997E-2</v>
      </c>
      <c r="E16" s="22">
        <f>J24</f>
        <v>4.3596000000000003E-2</v>
      </c>
      <c r="F16" s="1">
        <f>SQRT(B18^2+C18^2+D18^2+E18^2)/4</f>
        <v>6.7604520390212017E-2</v>
      </c>
      <c r="H16" t="s">
        <v>30</v>
      </c>
      <c r="I16">
        <v>0.683056</v>
      </c>
      <c r="J16">
        <v>7.9561000000000007E-2</v>
      </c>
      <c r="K16">
        <v>4.9695999999999997E-2</v>
      </c>
      <c r="L16">
        <v>7.5810000000000001E-3</v>
      </c>
      <c r="M16">
        <v>9.4112000000000001E-2</v>
      </c>
      <c r="N16" s="1">
        <v>2.0930800000000002E-18</v>
      </c>
      <c r="O16" s="1">
        <v>2.5397600000000002E-19</v>
      </c>
      <c r="P16" s="1">
        <v>1.5863999999999999E-19</v>
      </c>
      <c r="Q16" s="1">
        <v>2.4200900000000001E-20</v>
      </c>
      <c r="R16" s="1">
        <v>3.0042700000000002E-19</v>
      </c>
    </row>
    <row r="17" spans="1:18" x14ac:dyDescent="0.2">
      <c r="A17" s="25" t="s">
        <v>37</v>
      </c>
      <c r="B17" s="24">
        <f>O6</f>
        <v>2.69614E-19</v>
      </c>
      <c r="C17" s="24">
        <f>O12</f>
        <v>2.3043099999999998E-19</v>
      </c>
      <c r="D17" s="24">
        <f>O18</f>
        <v>1.93345E-19</v>
      </c>
      <c r="E17" s="24">
        <f>O24</f>
        <v>1.3916899999999999E-19</v>
      </c>
      <c r="F17" s="1">
        <f>SQRT(B19^2+C19^2+D19^2+E19^2)/4</f>
        <v>0</v>
      </c>
      <c r="H17" t="s">
        <v>31</v>
      </c>
      <c r="I17">
        <v>0.80426799999999998</v>
      </c>
      <c r="J17">
        <v>9.1606000000000007E-2</v>
      </c>
      <c r="K17">
        <v>7.0844000000000004E-2</v>
      </c>
      <c r="L17">
        <v>7.5810000000000001E-3</v>
      </c>
      <c r="M17">
        <v>0.116051</v>
      </c>
      <c r="N17" s="1">
        <v>2.48001E-18</v>
      </c>
      <c r="O17" s="1">
        <v>2.92426E-19</v>
      </c>
      <c r="P17" s="1">
        <v>2.26149E-19</v>
      </c>
      <c r="Q17" s="1">
        <v>2.4200900000000001E-20</v>
      </c>
      <c r="R17" s="1">
        <v>3.7046199999999999E-19</v>
      </c>
    </row>
    <row r="18" spans="1:18" x14ac:dyDescent="0.2">
      <c r="A18" s="20" t="s">
        <v>38</v>
      </c>
      <c r="B18" s="23">
        <f>B17/B2</f>
        <v>0.18018833247565647</v>
      </c>
      <c r="C18" s="23">
        <f>C17/C2</f>
        <v>0.16781440941498618</v>
      </c>
      <c r="D18" s="28">
        <f>D17/D2</f>
        <v>8.4213529393829839E-2</v>
      </c>
      <c r="E18" s="28">
        <f>E17/E2</f>
        <v>7.3515366655045267E-2</v>
      </c>
      <c r="F18" s="3">
        <f>SQRT(B20^2+C20^2+D20^2+E20^2)/4</f>
        <v>0</v>
      </c>
      <c r="H18" t="s">
        <v>32</v>
      </c>
      <c r="I18">
        <v>0.74658800000000003</v>
      </c>
      <c r="J18">
        <v>6.0567999999999997E-2</v>
      </c>
      <c r="K18">
        <v>4.2286999999999998E-2</v>
      </c>
      <c r="L18">
        <v>7.5810000000000001E-3</v>
      </c>
      <c r="M18">
        <v>7.4257000000000004E-2</v>
      </c>
      <c r="N18" s="1">
        <v>2.2958900000000001E-18</v>
      </c>
      <c r="O18" s="1">
        <v>1.93345E-19</v>
      </c>
      <c r="P18" s="1">
        <v>1.3498799999999999E-19</v>
      </c>
      <c r="Q18" s="1">
        <v>2.4200900000000001E-20</v>
      </c>
      <c r="R18" s="1">
        <v>2.3704400000000001E-19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2.8764684730318183E-19</v>
      </c>
      <c r="C21" s="22">
        <f>SQRT(C17^2+C13^2+C9^2)</f>
        <v>2.4679939739806901E-19</v>
      </c>
      <c r="D21" s="22">
        <f>SQRT(D17^2+D13^2+D9^2)</f>
        <v>2.3704373590080372E-19</v>
      </c>
      <c r="E21" s="22">
        <f>SQRT(E17^2+E13^2+E9^2)</f>
        <v>1.8167610879036902E-19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0.19224003856416993</v>
      </c>
      <c r="C22" s="23">
        <f>C21/C2</f>
        <v>0.17973491031298494</v>
      </c>
      <c r="D22" s="23">
        <f>D21/D2</f>
        <v>0.10324699175518152</v>
      </c>
      <c r="E22" s="28">
        <f>E21/E2</f>
        <v>9.596954602092328E-2</v>
      </c>
      <c r="H22" t="s">
        <v>30</v>
      </c>
      <c r="I22">
        <v>0.59173600000000004</v>
      </c>
      <c r="J22">
        <v>5.6980999999999997E-2</v>
      </c>
      <c r="K22">
        <v>4.3527000000000003E-2</v>
      </c>
      <c r="L22">
        <v>7.8659999999999997E-3</v>
      </c>
      <c r="M22">
        <v>7.2134000000000004E-2</v>
      </c>
      <c r="N22" s="1">
        <v>1.78864E-18</v>
      </c>
      <c r="O22" s="1">
        <v>1.81896E-19</v>
      </c>
      <c r="P22" s="1">
        <v>1.3894599999999999E-19</v>
      </c>
      <c r="Q22" s="1">
        <v>2.5111099999999999E-20</v>
      </c>
      <c r="R22" s="1">
        <v>2.3026700000000002E-19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0.653752</v>
      </c>
      <c r="J23">
        <v>6.6333000000000003E-2</v>
      </c>
      <c r="K23">
        <v>6.4299999999999996E-2</v>
      </c>
      <c r="L23">
        <v>7.8659999999999997E-3</v>
      </c>
      <c r="M23">
        <v>9.2716999999999994E-2</v>
      </c>
      <c r="N23" s="1">
        <v>1.98661E-18</v>
      </c>
      <c r="O23" s="1">
        <v>2.1175E-19</v>
      </c>
      <c r="P23" s="1">
        <v>2.0526000000000001E-19</v>
      </c>
      <c r="Q23" s="1">
        <v>2.5111099999999999E-20</v>
      </c>
      <c r="R23" s="1">
        <v>2.9597299999999999E-19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0.62444599999999995</v>
      </c>
      <c r="J24">
        <v>4.3596000000000003E-2</v>
      </c>
      <c r="K24">
        <v>3.5728000000000003E-2</v>
      </c>
      <c r="L24">
        <v>7.8659999999999997E-3</v>
      </c>
      <c r="M24">
        <v>5.6911999999999997E-2</v>
      </c>
      <c r="N24" s="1">
        <v>1.8930599999999998E-18</v>
      </c>
      <c r="O24" s="1">
        <v>1.3916899999999999E-19</v>
      </c>
      <c r="P24" s="1">
        <v>1.14051E-19</v>
      </c>
      <c r="Q24" s="1">
        <v>2.5111099999999999E-20</v>
      </c>
      <c r="R24" s="1">
        <v>1.8167600000000001E-19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1.5269681816184276E-25</v>
      </c>
      <c r="C26" s="1">
        <f>C3-C21</f>
        <v>6.0260193099454558E-25</v>
      </c>
      <c r="D26" s="1">
        <f>D3-D21</f>
        <v>2.6409919629228419E-25</v>
      </c>
      <c r="E26" s="1">
        <f>E3-E21</f>
        <v>-1.0879036901010252E-25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1.46642E-18</v>
      </c>
      <c r="C2" s="22">
        <f>N12</f>
        <v>1.3471599999999999E-18</v>
      </c>
      <c r="D2" s="22">
        <f>N18</f>
        <v>2.2857000000000001E-18</v>
      </c>
      <c r="E2" s="22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2.8112400000000002E-19</v>
      </c>
      <c r="C3" s="24">
        <f>R12</f>
        <v>2.4182999999999998E-19</v>
      </c>
      <c r="D3" s="24">
        <f>R18</f>
        <v>2.2777700000000001E-19</v>
      </c>
      <c r="E3" s="24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0.19170769629437678</v>
      </c>
      <c r="C4" s="23">
        <f t="shared" ref="C4:E4" si="1">C3/C2</f>
        <v>0.17951097122836188</v>
      </c>
      <c r="D4" s="23">
        <f t="shared" si="1"/>
        <v>9.9653060331627075E-2</v>
      </c>
      <c r="E4" s="28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1.4522510604056137E-2</v>
      </c>
      <c r="C10" s="28">
        <f>C9/C2</f>
        <v>1.7859719706642123E-2</v>
      </c>
      <c r="D10" s="28">
        <f>D9/D2</f>
        <v>1.058795992474953E-2</v>
      </c>
      <c r="E10" s="28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5" t="s">
        <v>12</v>
      </c>
      <c r="B12" s="24">
        <f>K6</f>
        <v>2.5856000000000001E-2</v>
      </c>
      <c r="C12" s="22">
        <f>K12</f>
        <v>2.3181E-2</v>
      </c>
      <c r="D12" s="22">
        <f>K18</f>
        <v>3.7580000000000002E-2</v>
      </c>
      <c r="E12" s="22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5" t="s">
        <v>9</v>
      </c>
      <c r="B13" s="24">
        <f>P6</f>
        <v>8.2538800000000001E-20</v>
      </c>
      <c r="C13" s="24">
        <f>P12</f>
        <v>7.3998099999999995E-20</v>
      </c>
      <c r="D13" s="24">
        <f>P18</f>
        <v>1.1996500000000001E-19</v>
      </c>
      <c r="E13" s="24">
        <f>P24</f>
        <v>1.0169E-19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5.6285920813955073E-2</v>
      </c>
      <c r="C14" s="28">
        <f>C13/C2</f>
        <v>5.4928961667507943E-2</v>
      </c>
      <c r="D14" s="28">
        <f>D13/D2</f>
        <v>5.2485015531347073E-2</v>
      </c>
      <c r="E14" s="28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8.3918999999999994E-2</v>
      </c>
      <c r="C16" s="22">
        <f>J12</f>
        <v>7.1726999999999999E-2</v>
      </c>
      <c r="D16" s="22">
        <f>J18</f>
        <v>6.0179999999999997E-2</v>
      </c>
      <c r="E16" s="22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5" t="s">
        <v>37</v>
      </c>
      <c r="B17" s="24">
        <f>O6</f>
        <v>2.6788900000000001E-19</v>
      </c>
      <c r="C17" s="24">
        <f>O12</f>
        <v>2.2897E-19</v>
      </c>
      <c r="D17" s="24">
        <f>O18</f>
        <v>1.92107E-19</v>
      </c>
      <c r="E17" s="24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0" t="s">
        <v>38</v>
      </c>
      <c r="B18" s="23">
        <f>B17/B2</f>
        <v>0.18268231475293573</v>
      </c>
      <c r="C18" s="23">
        <f>C17/C2</f>
        <v>0.16996496333026517</v>
      </c>
      <c r="D18" s="28">
        <f>D17/D2</f>
        <v>8.4047337795861224E-2</v>
      </c>
      <c r="E18" s="28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2.8112398279344651E-19</v>
      </c>
      <c r="C21" s="22">
        <f>SQRT(C17^2+C13^2+C9^2)</f>
        <v>2.4183022658803429E-19</v>
      </c>
      <c r="D21" s="22">
        <f>SQRT(D17^2+D13^2+D9^2)</f>
        <v>2.2777704940316089E-19</v>
      </c>
      <c r="E21" s="22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0.19170768456066237</v>
      </c>
      <c r="C22" s="23">
        <f>C21/C2</f>
        <v>0.17951113942518654</v>
      </c>
      <c r="D22" s="23">
        <f>D21/D2</f>
        <v>9.9653081945645039E-2</v>
      </c>
      <c r="E22" s="28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1.34118E-18</v>
      </c>
      <c r="C2" s="22">
        <f>N12</f>
        <v>1.2325699999999999E-18</v>
      </c>
      <c r="D2" s="22">
        <f>N18</f>
        <v>2.0961100000000001E-18</v>
      </c>
      <c r="E2" s="22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5" t="s">
        <v>4</v>
      </c>
      <c r="B3" s="24">
        <f>R6</f>
        <v>2.5884099999999999E-19</v>
      </c>
      <c r="C3" s="24">
        <f>R12</f>
        <v>2.2274999999999998E-19</v>
      </c>
      <c r="D3" s="24">
        <f>R18</f>
        <v>2.09949E-19</v>
      </c>
      <c r="E3" s="24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0.1929949745746283</v>
      </c>
      <c r="C4" s="23">
        <f t="shared" ref="C4:E4" si="1">C3/C2</f>
        <v>0.18071995910982744</v>
      </c>
      <c r="D4" s="23">
        <f t="shared" si="1"/>
        <v>0.10016125107938037</v>
      </c>
      <c r="E4" s="28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1.5878629266765087E-2</v>
      </c>
      <c r="C10" s="28">
        <f>C9/C2</f>
        <v>1.9520108391409819E-2</v>
      </c>
      <c r="D10" s="28">
        <f>D9/D2</f>
        <v>1.1545624991054859E-2</v>
      </c>
      <c r="E10" s="28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5" t="s">
        <v>12</v>
      </c>
      <c r="B12" s="24">
        <f>K6</f>
        <v>2.3862000000000001E-2</v>
      </c>
      <c r="C12" s="22">
        <f>K12</f>
        <v>2.1389999999999999E-2</v>
      </c>
      <c r="D12" s="22">
        <f>K18</f>
        <v>3.4676999999999999E-2</v>
      </c>
      <c r="E12" s="22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5" t="s">
        <v>9</v>
      </c>
      <c r="B13" s="24">
        <f>P6</f>
        <v>7.61744E-20</v>
      </c>
      <c r="C13" s="24">
        <f>P12</f>
        <v>6.8282900000000006E-20</v>
      </c>
      <c r="D13" s="24">
        <f>P18</f>
        <v>1.1069599999999999E-19</v>
      </c>
      <c r="E13" s="24">
        <f>P24</f>
        <v>9.3830799999999997E-20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5.6796552289774677E-2</v>
      </c>
      <c r="C14" s="28">
        <f>C13/C2</f>
        <v>5.5398800879463243E-2</v>
      </c>
      <c r="D14" s="28">
        <f>D13/D2</f>
        <v>5.2810205571272494E-2</v>
      </c>
      <c r="E14" s="28">
        <f>E13/E2</f>
        <v>5.4185150750431663E-2</v>
      </c>
      <c r="F14" s="3">
        <f>SQRT(B16^2+C16^2+D16^2+E16^2)/4</f>
        <v>3.0587948281349305E-2</v>
      </c>
      <c r="H14" s="14" t="s">
        <v>33</v>
      </c>
      <c r="I14" s="1"/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7.7205999999999997E-2</v>
      </c>
      <c r="C16" s="22">
        <f>J12</f>
        <v>6.5989999999999993E-2</v>
      </c>
      <c r="D16" s="22">
        <f>J18</f>
        <v>5.5368000000000001E-2</v>
      </c>
      <c r="E16" s="22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5" t="s">
        <v>37</v>
      </c>
      <c r="B17" s="24">
        <f>O6</f>
        <v>2.4645999999999998E-19</v>
      </c>
      <c r="C17" s="24">
        <f>O12</f>
        <v>2.10656E-19</v>
      </c>
      <c r="D17" s="24">
        <f>O18</f>
        <v>1.76746E-19</v>
      </c>
      <c r="E17" s="24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0" t="s">
        <v>38</v>
      </c>
      <c r="B18" s="23">
        <f>B17/B2</f>
        <v>0.18376355149942586</v>
      </c>
      <c r="C18" s="23">
        <f>C17/C2</f>
        <v>0.17090794031981957</v>
      </c>
      <c r="D18" s="28">
        <f>D17/D2</f>
        <v>8.4320956438354855E-2</v>
      </c>
      <c r="E18" s="28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36"/>
      <c r="B19" s="31"/>
      <c r="C19" s="31"/>
      <c r="D19" s="31"/>
      <c r="E19" s="31"/>
      <c r="J19" s="1"/>
      <c r="K19" s="1"/>
    </row>
    <row r="20" spans="1:18" x14ac:dyDescent="0.2">
      <c r="A20" s="17" t="s">
        <v>22</v>
      </c>
      <c r="B20" s="19"/>
      <c r="C20" s="19"/>
      <c r="D20" s="19"/>
      <c r="E20" s="19"/>
      <c r="H20" s="6" t="s">
        <v>34</v>
      </c>
    </row>
    <row r="21" spans="1:18" x14ac:dyDescent="0.2">
      <c r="A21" s="21" t="s">
        <v>19</v>
      </c>
      <c r="B21" s="22">
        <f>SQRT(B17^2+B13^2+B9^2)</f>
        <v>2.5884086750466974E-19</v>
      </c>
      <c r="C21" s="22">
        <f>SQRT(C17^2+C13^2+C9^2)</f>
        <v>2.2274959833054693E-19</v>
      </c>
      <c r="D21" s="22">
        <f>SQRT(D17^2+D13^2+D9^2)</f>
        <v>2.0994865203856393E-19</v>
      </c>
      <c r="E21" s="22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0.19299487578451047</v>
      </c>
      <c r="C22" s="23">
        <f>C21/C2</f>
        <v>0.18071963323019946</v>
      </c>
      <c r="D22" s="23">
        <f>D21/D2</f>
        <v>0.10016108507595685</v>
      </c>
      <c r="E22" s="28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1.3589599999999999E-18</v>
      </c>
      <c r="C2" s="22">
        <f>N12</f>
        <v>1.23956E-18</v>
      </c>
      <c r="D2" s="22">
        <f>N18</f>
        <v>2.0849100000000001E-18</v>
      </c>
      <c r="E2" s="22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5" t="s">
        <v>4</v>
      </c>
      <c r="B3" s="24">
        <f>R6</f>
        <v>2.6231700000000002E-19</v>
      </c>
      <c r="C3" s="24">
        <f>R12</f>
        <v>2.26077E-19</v>
      </c>
      <c r="D3" s="24">
        <f>R18</f>
        <v>2.2043400000000001E-19</v>
      </c>
      <c r="E3" s="24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0.19302775651969156</v>
      </c>
      <c r="C4" s="23">
        <f t="shared" ref="C4:E4" si="1">C3/C2</f>
        <v>0.18238487850527607</v>
      </c>
      <c r="D4" s="23">
        <f t="shared" si="1"/>
        <v>0.10572830481891304</v>
      </c>
      <c r="E4" s="28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26"/>
      <c r="B5" s="29"/>
      <c r="C5" s="29"/>
      <c r="D5" s="29"/>
      <c r="E5" s="27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1" t="s">
        <v>11</v>
      </c>
      <c r="B6" s="22">
        <f>L4</f>
        <v>6.6709999999999998E-3</v>
      </c>
      <c r="C6" s="22">
        <f>L12</f>
        <v>7.5370000000000003E-3</v>
      </c>
      <c r="D6" s="22">
        <f>L18</f>
        <v>7.5810000000000001E-3</v>
      </c>
      <c r="E6" s="22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5" t="s">
        <v>6</v>
      </c>
      <c r="B7" s="24">
        <f>Q6</f>
        <v>2.1296100000000001E-20</v>
      </c>
      <c r="C7" s="24">
        <f>Q12</f>
        <v>2.4059899999999999E-20</v>
      </c>
      <c r="D7" s="24">
        <f>Q18</f>
        <v>2.4200900000000001E-20</v>
      </c>
      <c r="E7" s="24">
        <f>Q24</f>
        <v>2.5111099999999999E-20</v>
      </c>
    </row>
    <row r="8" spans="1:18" x14ac:dyDescent="0.2">
      <c r="A8" s="20" t="s">
        <v>7</v>
      </c>
      <c r="B8" s="28">
        <f>B7/B2</f>
        <v>1.5670880673456174E-2</v>
      </c>
      <c r="C8" s="28">
        <f>C7/C2</f>
        <v>1.9410032592210139E-2</v>
      </c>
      <c r="D8" s="28">
        <f>D7/D2</f>
        <v>1.1607647332498765E-2</v>
      </c>
      <c r="E8" s="28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17"/>
      <c r="B9" s="35"/>
      <c r="C9" s="33"/>
      <c r="D9" s="33"/>
      <c r="E9" s="32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5" t="s">
        <v>12</v>
      </c>
      <c r="B10" s="24">
        <f>K6</f>
        <v>2.8056000000000001E-2</v>
      </c>
      <c r="C10" s="22">
        <f>K12</f>
        <v>2.5180999999999999E-2</v>
      </c>
      <c r="D10" s="22">
        <f>K18</f>
        <v>4.0837999999999999E-2</v>
      </c>
      <c r="E10" s="22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5" t="s">
        <v>9</v>
      </c>
      <c r="B11" s="24">
        <f>P6</f>
        <v>8.9560300000000005E-20</v>
      </c>
      <c r="C11" s="24">
        <f>P12</f>
        <v>8.0383499999999999E-20</v>
      </c>
      <c r="D11" s="24">
        <f>P18</f>
        <v>1.30364E-19</v>
      </c>
      <c r="E11" s="24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0" t="s">
        <v>10</v>
      </c>
      <c r="B12" s="28">
        <f>B11/B2</f>
        <v>6.5903558603638085E-2</v>
      </c>
      <c r="C12" s="28">
        <f>C11/C2</f>
        <v>6.4848413953338277E-2</v>
      </c>
      <c r="D12" s="28">
        <f>D11/D2</f>
        <v>6.2527399264236824E-2</v>
      </c>
      <c r="E12" s="28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16"/>
      <c r="B13" s="34"/>
      <c r="C13" s="31"/>
      <c r="D13" s="31"/>
      <c r="E13" s="30"/>
      <c r="F13" s="1">
        <f>SQRT(B11^2+C11^2+D11^2+E11^2)/4</f>
        <v>5.2257105665366219E-20</v>
      </c>
    </row>
    <row r="14" spans="1:18" x14ac:dyDescent="0.2">
      <c r="A14" s="25" t="s">
        <v>17</v>
      </c>
      <c r="B14" s="22">
        <f>J6</f>
        <v>7.6947000000000002E-2</v>
      </c>
      <c r="C14" s="22">
        <f>J12</f>
        <v>6.5763000000000002E-2</v>
      </c>
      <c r="D14" s="22">
        <f>J18</f>
        <v>5.5164999999999999E-2</v>
      </c>
      <c r="E14" s="22">
        <f>J24</f>
        <v>3.9710000000000002E-2</v>
      </c>
      <c r="F14" s="3">
        <f>SQRT(B12^2+C12^2+D12^2+E12^2)/4</f>
        <v>3.2218107492396113E-2</v>
      </c>
      <c r="H14" s="14" t="s">
        <v>33</v>
      </c>
      <c r="I14" s="1"/>
    </row>
    <row r="15" spans="1:18" x14ac:dyDescent="0.2">
      <c r="A15" s="25" t="s">
        <v>16</v>
      </c>
      <c r="B15" s="24">
        <f>O6</f>
        <v>2.4563299999999999E-19</v>
      </c>
      <c r="C15" s="24">
        <f>O12</f>
        <v>2.0993E-19</v>
      </c>
      <c r="D15" s="24">
        <f>O18</f>
        <v>1.76099E-19</v>
      </c>
      <c r="E15" s="24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0" t="s">
        <v>18</v>
      </c>
      <c r="B16" s="23">
        <f>B15/B2</f>
        <v>0.18075072113969506</v>
      </c>
      <c r="C16" s="23">
        <f>C15/C2</f>
        <v>0.1693584820420149</v>
      </c>
      <c r="D16" s="28">
        <f>D15/D2</f>
        <v>8.4463597949072142E-2</v>
      </c>
      <c r="E16" s="28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16"/>
      <c r="B17" s="31"/>
      <c r="C17" s="31"/>
      <c r="D17" s="31"/>
      <c r="E17" s="30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17" t="s">
        <v>22</v>
      </c>
      <c r="B18" s="19"/>
      <c r="C18" s="19"/>
      <c r="D18" s="19"/>
      <c r="E18" s="19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1" t="s">
        <v>19</v>
      </c>
      <c r="B19" s="22">
        <f>SQRT(B15^2+B11^2+B7^2)</f>
        <v>2.6231687307586602E-19</v>
      </c>
      <c r="C19" s="22">
        <f>SQRT(C15^2+C11^2+C7^2)</f>
        <v>2.2607739993254524E-19</v>
      </c>
      <c r="D19" s="22">
        <f>SQRT(D15^2+D11^2+D7^2)</f>
        <v>2.2043437539959596E-19</v>
      </c>
      <c r="E19" s="22">
        <f>SQRT(E15^2+E11^2+E7^2)</f>
        <v>1.7004405337502984E-19</v>
      </c>
      <c r="J19" s="1"/>
      <c r="K19" s="1"/>
    </row>
    <row r="20" spans="1:18" x14ac:dyDescent="0.2">
      <c r="A20" s="20" t="s">
        <v>20</v>
      </c>
      <c r="B20" s="23">
        <f>B19/B2</f>
        <v>0.19302766312170044</v>
      </c>
      <c r="C20" s="23">
        <f>C19/C2</f>
        <v>0.18238520114600765</v>
      </c>
      <c r="D20" s="23">
        <f>D19/D2</f>
        <v>0.10572848487445308</v>
      </c>
      <c r="E20" s="28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Run-1 (v2) (HS refit)</vt:lpstr>
      <vt:lpstr>Run-1 (v2) (HS reweight refit)</vt:lpstr>
      <vt:lpstr>Run-1 (v2) (HS reweight)</vt:lpstr>
      <vt:lpstr>Run-1 (v2) (HS)</vt:lpstr>
      <vt:lpstr>Run-1 (v2)</vt:lpstr>
      <vt:lpstr>Run-1 (v1)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2022-02-03T11:35:48Z</cp:lastPrinted>
  <dcterms:created xsi:type="dcterms:W3CDTF">2021-12-17T14:34:16Z</dcterms:created>
  <dcterms:modified xsi:type="dcterms:W3CDTF">2022-02-03T14:57:20Z</dcterms:modified>
</cp:coreProperties>
</file>