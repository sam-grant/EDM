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8_{F0F29A5D-FB46-7B44-B5D3-A216D1763711}" xr6:coauthVersionLast="47" xr6:coauthVersionMax="47" xr10:uidLastSave="{00000000-0000-0000-0000-000000000000}"/>
  <bookViews>
    <workbookView xWindow="4240" yWindow="-18460" windowWidth="23660" windowHeight="17500" xr2:uid="{C29EF40E-6384-C447-AF4D-92516C1B0710}"/>
  </bookViews>
  <sheets>
    <sheet name="Run-1 (BAM)" sheetId="23" r:id="rId1"/>
    <sheet name="trackReco" sheetId="24" r:id="rId2"/>
    <sheet name="Run-1 (main)" sheetId="19" r:id="rId3"/>
    <sheet name="Run-1 (noAccCorr) " sheetId="21" r:id="rId4"/>
    <sheet name="Run-1 (noDilCorr) " sheetId="22" r:id="rId5"/>
    <sheet name="Run-1 (noVertCorr)" sheetId="2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3" l="1"/>
  <c r="B18" i="23"/>
  <c r="B17" i="24"/>
  <c r="B21" i="24" s="1"/>
  <c r="B16" i="24"/>
  <c r="B13" i="24"/>
  <c r="B12" i="24"/>
  <c r="B9" i="24"/>
  <c r="B3" i="24"/>
  <c r="B2" i="24"/>
  <c r="B8" i="24"/>
  <c r="B27" i="24"/>
  <c r="F4" i="23"/>
  <c r="C25" i="23"/>
  <c r="D25" i="23"/>
  <c r="E25" i="23"/>
  <c r="B25" i="23"/>
  <c r="C18" i="23"/>
  <c r="D18" i="23"/>
  <c r="B17" i="23"/>
  <c r="C17" i="23"/>
  <c r="D17" i="23"/>
  <c r="E18" i="23"/>
  <c r="E17" i="23"/>
  <c r="E16" i="23"/>
  <c r="D16" i="23"/>
  <c r="C16" i="23"/>
  <c r="B16" i="23"/>
  <c r="B12" i="23"/>
  <c r="C12" i="23"/>
  <c r="E12" i="23"/>
  <c r="D12" i="23"/>
  <c r="E21" i="23"/>
  <c r="D21" i="23"/>
  <c r="C21" i="23"/>
  <c r="B21" i="23"/>
  <c r="E20" i="23"/>
  <c r="D20" i="23"/>
  <c r="C20" i="23"/>
  <c r="B20" i="23"/>
  <c r="E13" i="23"/>
  <c r="D13" i="23"/>
  <c r="C13" i="23"/>
  <c r="B13" i="23"/>
  <c r="E9" i="23"/>
  <c r="D9" i="23"/>
  <c r="C9" i="23"/>
  <c r="B9" i="23"/>
  <c r="E8" i="23"/>
  <c r="D8" i="23"/>
  <c r="C8" i="23"/>
  <c r="B8" i="23"/>
  <c r="C8" i="19"/>
  <c r="B9" i="19"/>
  <c r="G2" i="19"/>
  <c r="D2" i="23"/>
  <c r="D3" i="23"/>
  <c r="E3" i="23"/>
  <c r="E2" i="23"/>
  <c r="C3" i="23"/>
  <c r="C2" i="23"/>
  <c r="B2" i="23"/>
  <c r="B3" i="23"/>
  <c r="B31" i="23"/>
  <c r="F21" i="23"/>
  <c r="F20" i="23"/>
  <c r="F13" i="23"/>
  <c r="F9" i="23"/>
  <c r="B10" i="19"/>
  <c r="B27" i="22"/>
  <c r="F18" i="22"/>
  <c r="F17" i="22"/>
  <c r="E17" i="22"/>
  <c r="D17" i="22"/>
  <c r="D18" i="22" s="1"/>
  <c r="C17" i="22"/>
  <c r="B17" i="22"/>
  <c r="E16" i="22"/>
  <c r="D16" i="22"/>
  <c r="C16" i="22"/>
  <c r="B16" i="22"/>
  <c r="F13" i="22"/>
  <c r="E13" i="22"/>
  <c r="D13" i="22"/>
  <c r="C13" i="22"/>
  <c r="B13" i="22"/>
  <c r="E12" i="22"/>
  <c r="D12" i="22"/>
  <c r="C12" i="22"/>
  <c r="B12" i="22"/>
  <c r="F9" i="22"/>
  <c r="E9" i="22"/>
  <c r="D9" i="22"/>
  <c r="D10" i="22" s="1"/>
  <c r="C9" i="22"/>
  <c r="B9" i="22"/>
  <c r="E8" i="22"/>
  <c r="D8" i="22"/>
  <c r="C8" i="22"/>
  <c r="B8" i="22"/>
  <c r="E3" i="22"/>
  <c r="E4" i="22" s="1"/>
  <c r="D3" i="22"/>
  <c r="C3" i="22"/>
  <c r="B3" i="22"/>
  <c r="E2" i="22"/>
  <c r="D2" i="22"/>
  <c r="D4" i="22" s="1"/>
  <c r="C2" i="22"/>
  <c r="C18" i="22" s="1"/>
  <c r="B2" i="22"/>
  <c r="B14" i="22" s="1"/>
  <c r="B27" i="21"/>
  <c r="F18" i="21"/>
  <c r="F17" i="21"/>
  <c r="E17" i="21"/>
  <c r="D17" i="21"/>
  <c r="C17" i="21"/>
  <c r="C18" i="21" s="1"/>
  <c r="B17" i="21"/>
  <c r="E16" i="21"/>
  <c r="D16" i="21"/>
  <c r="C16" i="21"/>
  <c r="B16" i="21"/>
  <c r="F13" i="21"/>
  <c r="E13" i="21"/>
  <c r="D13" i="21"/>
  <c r="C13" i="21"/>
  <c r="B13" i="21"/>
  <c r="E12" i="21"/>
  <c r="D12" i="21"/>
  <c r="C12" i="21"/>
  <c r="B12" i="21"/>
  <c r="F9" i="21"/>
  <c r="E9" i="21"/>
  <c r="D9" i="21"/>
  <c r="C9" i="21"/>
  <c r="B9" i="21"/>
  <c r="E8" i="21"/>
  <c r="D8" i="21"/>
  <c r="C8" i="21"/>
  <c r="B8" i="21"/>
  <c r="E3" i="21"/>
  <c r="E4" i="21" s="1"/>
  <c r="D3" i="21"/>
  <c r="C3" i="21"/>
  <c r="B3" i="21"/>
  <c r="E2" i="21"/>
  <c r="D2" i="21"/>
  <c r="D18" i="21" s="1"/>
  <c r="C2" i="21"/>
  <c r="B2" i="21"/>
  <c r="B27" i="20"/>
  <c r="F18" i="20"/>
  <c r="F17" i="20"/>
  <c r="E17" i="20"/>
  <c r="E21" i="20" s="1"/>
  <c r="E22" i="20" s="1"/>
  <c r="D17" i="20"/>
  <c r="C17" i="20"/>
  <c r="B17" i="20"/>
  <c r="E16" i="20"/>
  <c r="D16" i="20"/>
  <c r="C16" i="20"/>
  <c r="B16" i="20"/>
  <c r="F13" i="20"/>
  <c r="E13" i="20"/>
  <c r="D13" i="20"/>
  <c r="C13" i="20"/>
  <c r="B13" i="20"/>
  <c r="E12" i="20"/>
  <c r="D12" i="20"/>
  <c r="C12" i="20"/>
  <c r="B12" i="20"/>
  <c r="F9" i="20"/>
  <c r="E9" i="20"/>
  <c r="D9" i="20"/>
  <c r="C9" i="20"/>
  <c r="B9" i="20"/>
  <c r="E8" i="20"/>
  <c r="D8" i="20"/>
  <c r="C8" i="20"/>
  <c r="B8" i="20"/>
  <c r="E3" i="20"/>
  <c r="D3" i="20"/>
  <c r="D4" i="20" s="1"/>
  <c r="C3" i="20"/>
  <c r="B3" i="20"/>
  <c r="E2" i="20"/>
  <c r="E10" i="20" s="1"/>
  <c r="D2" i="20"/>
  <c r="C2" i="20"/>
  <c r="C4" i="20" s="1"/>
  <c r="B2" i="20"/>
  <c r="B14" i="20" s="1"/>
  <c r="B27" i="19"/>
  <c r="F18" i="19"/>
  <c r="F17" i="19"/>
  <c r="E17" i="19"/>
  <c r="D17" i="19"/>
  <c r="C17" i="19"/>
  <c r="B17" i="19"/>
  <c r="E16" i="19"/>
  <c r="D16" i="19"/>
  <c r="C16" i="19"/>
  <c r="B16" i="19"/>
  <c r="F13" i="19"/>
  <c r="E13" i="19"/>
  <c r="D13" i="19"/>
  <c r="C13" i="19"/>
  <c r="B13" i="19"/>
  <c r="E12" i="19"/>
  <c r="D12" i="19"/>
  <c r="C12" i="19"/>
  <c r="B12" i="19"/>
  <c r="F9" i="19"/>
  <c r="E9" i="19"/>
  <c r="E10" i="19" s="1"/>
  <c r="D9" i="19"/>
  <c r="D10" i="19" s="1"/>
  <c r="C9" i="19"/>
  <c r="E8" i="19"/>
  <c r="D8" i="19"/>
  <c r="B8" i="19"/>
  <c r="E4" i="19"/>
  <c r="D4" i="19"/>
  <c r="E3" i="19"/>
  <c r="D3" i="19"/>
  <c r="C3" i="19"/>
  <c r="B3" i="19"/>
  <c r="E2" i="19"/>
  <c r="D2" i="19"/>
  <c r="C2" i="19"/>
  <c r="C18" i="19" s="1"/>
  <c r="B2" i="19"/>
  <c r="B22" i="24" l="1"/>
  <c r="B18" i="24"/>
  <c r="B10" i="24"/>
  <c r="D2" i="24"/>
  <c r="B14" i="24"/>
  <c r="B4" i="24"/>
  <c r="E22" i="23"/>
  <c r="C10" i="23"/>
  <c r="G2" i="23"/>
  <c r="D26" i="23"/>
  <c r="F14" i="23"/>
  <c r="C26" i="23"/>
  <c r="B26" i="23"/>
  <c r="E26" i="23"/>
  <c r="D10" i="23"/>
  <c r="C4" i="23"/>
  <c r="E10" i="23"/>
  <c r="F10" i="23"/>
  <c r="B14" i="23"/>
  <c r="F2" i="23"/>
  <c r="B4" i="23"/>
  <c r="E14" i="23"/>
  <c r="D14" i="23"/>
  <c r="D4" i="23"/>
  <c r="B10" i="23"/>
  <c r="C14" i="23"/>
  <c r="B22" i="23"/>
  <c r="C22" i="23"/>
  <c r="E4" i="23"/>
  <c r="D22" i="23"/>
  <c r="E21" i="21"/>
  <c r="E26" i="21" s="1"/>
  <c r="D10" i="21"/>
  <c r="F2" i="21"/>
  <c r="C10" i="21"/>
  <c r="B10" i="21"/>
  <c r="B21" i="22"/>
  <c r="B22" i="22" s="1"/>
  <c r="B10" i="22"/>
  <c r="C14" i="20"/>
  <c r="B21" i="20"/>
  <c r="B22" i="20" s="1"/>
  <c r="E14" i="19"/>
  <c r="C4" i="19"/>
  <c r="C10" i="19"/>
  <c r="B18" i="19"/>
  <c r="E21" i="22"/>
  <c r="E22" i="22" s="1"/>
  <c r="E10" i="22"/>
  <c r="E26" i="22"/>
  <c r="F14" i="22"/>
  <c r="E14" i="22"/>
  <c r="D21" i="22"/>
  <c r="D26" i="22" s="1"/>
  <c r="C4" i="22"/>
  <c r="C21" i="22"/>
  <c r="C26" i="22" s="1"/>
  <c r="F10" i="22"/>
  <c r="B26" i="22"/>
  <c r="F3" i="22"/>
  <c r="B4" i="22"/>
  <c r="F4" i="22" s="1"/>
  <c r="C10" i="22"/>
  <c r="D14" i="22"/>
  <c r="E18" i="22"/>
  <c r="B18" i="22"/>
  <c r="C14" i="22"/>
  <c r="F2" i="22"/>
  <c r="F14" i="21"/>
  <c r="E10" i="21"/>
  <c r="E14" i="21"/>
  <c r="D21" i="21"/>
  <c r="D22" i="21" s="1"/>
  <c r="D4" i="21"/>
  <c r="F10" i="21"/>
  <c r="C14" i="21"/>
  <c r="C4" i="21"/>
  <c r="B21" i="21"/>
  <c r="B22" i="21" s="1"/>
  <c r="B14" i="21"/>
  <c r="F3" i="21"/>
  <c r="C21" i="21"/>
  <c r="B4" i="21"/>
  <c r="D14" i="21"/>
  <c r="F12" i="21" s="1"/>
  <c r="E18" i="21"/>
  <c r="B18" i="21"/>
  <c r="E26" i="20"/>
  <c r="E14" i="20"/>
  <c r="F12" i="20" s="1"/>
  <c r="F14" i="20"/>
  <c r="D14" i="20"/>
  <c r="D10" i="20"/>
  <c r="D21" i="20"/>
  <c r="D22" i="20" s="1"/>
  <c r="C21" i="20"/>
  <c r="C22" i="20" s="1"/>
  <c r="C18" i="20"/>
  <c r="F10" i="20"/>
  <c r="C26" i="20"/>
  <c r="C10" i="20"/>
  <c r="B18" i="20"/>
  <c r="B26" i="20"/>
  <c r="F3" i="20"/>
  <c r="E4" i="20"/>
  <c r="B10" i="20"/>
  <c r="D18" i="20"/>
  <c r="F2" i="20"/>
  <c r="B4" i="20"/>
  <c r="F4" i="20" s="1"/>
  <c r="E18" i="20"/>
  <c r="E21" i="19"/>
  <c r="E22" i="19" s="1"/>
  <c r="D14" i="19"/>
  <c r="D21" i="19"/>
  <c r="D22" i="19" s="1"/>
  <c r="F10" i="19"/>
  <c r="F14" i="19"/>
  <c r="C21" i="19"/>
  <c r="C22" i="19" s="1"/>
  <c r="B21" i="19"/>
  <c r="B22" i="19" s="1"/>
  <c r="B14" i="19"/>
  <c r="E26" i="19"/>
  <c r="F8" i="19"/>
  <c r="D18" i="19"/>
  <c r="C14" i="19"/>
  <c r="B4" i="19"/>
  <c r="F4" i="19" s="1"/>
  <c r="E18" i="19"/>
  <c r="F3" i="19"/>
  <c r="F2" i="19"/>
  <c r="B26" i="24" l="1"/>
  <c r="F8" i="23"/>
  <c r="F12" i="23"/>
  <c r="D30" i="23"/>
  <c r="E30" i="23"/>
  <c r="F19" i="23"/>
  <c r="C30" i="23"/>
  <c r="B30" i="23"/>
  <c r="E22" i="21"/>
  <c r="F8" i="21"/>
  <c r="D26" i="21"/>
  <c r="B26" i="21"/>
  <c r="F8" i="22"/>
  <c r="D26" i="20"/>
  <c r="D26" i="19"/>
  <c r="C26" i="19"/>
  <c r="F12" i="19"/>
  <c r="D22" i="22"/>
  <c r="F12" i="22"/>
  <c r="C22" i="22"/>
  <c r="F16" i="22"/>
  <c r="F16" i="21"/>
  <c r="F4" i="21"/>
  <c r="C26" i="21"/>
  <c r="C22" i="21"/>
  <c r="F8" i="20"/>
  <c r="F16" i="20"/>
  <c r="F16" i="19"/>
  <c r="B26" i="19"/>
</calcChain>
</file>

<file path=xl/sharedStrings.xml><?xml version="1.0" encoding="utf-8"?>
<sst xmlns="http://schemas.openxmlformats.org/spreadsheetml/2006/main" count="538" uniqueCount="65">
  <si>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</si>
  <si>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</si>
  <si>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</si>
  <si>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</si>
  <si>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</si>
  <si>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</si>
  <si>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</si>
  <si>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</si>
  <si>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</si>
  <si>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</si>
  <si>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</si>
  <si>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</si>
  <si>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</si>
  <si>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</si>
  <si>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</si>
  <si>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</si>
  <si>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</si>
  <si>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</si>
  <si>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</si>
  <si>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</si>
  <si>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</si>
  <si>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</si>
  <si>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</si>
  <si>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</si>
  <si>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</si>
  <si>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</si>
  <si>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</si>
  <si>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Rounding error [ecm]</t>
  </si>
  <si>
    <t xml:space="preserve"> delta_prime</t>
  </si>
  <si>
    <t xml:space="preserve"> </t>
  </si>
  <si>
    <t xml:space="preserve"> dMu [ecm]</t>
  </si>
  <si>
    <t>pol0 fit error [mrad]</t>
  </si>
  <si>
    <t>pol0 error [ecm]</t>
  </si>
  <si>
    <t>pol0 error  [%]</t>
  </si>
  <si>
    <t>Raw data</t>
  </si>
  <si>
    <t xml:space="preserve"> acc_error</t>
  </si>
  <si>
    <t xml:space="preserve"> align_error</t>
  </si>
  <si>
    <t>Run-1c</t>
  </si>
  <si>
    <t>Run-1d</t>
  </si>
  <si>
    <t>Acceptance (MC stat) [mrad]</t>
  </si>
  <si>
    <t>Acceptance (MC stat) [ecm]</t>
  </si>
  <si>
    <t>Acceptance (MC stat) [%]</t>
  </si>
  <si>
    <t>stat [mrad]</t>
  </si>
  <si>
    <t>stat [ecm]</t>
  </si>
  <si>
    <t>stat [%]</t>
  </si>
  <si>
    <t>Acceptance (align) [mrad]</t>
  </si>
  <si>
    <t>Acceptance (align) [ecm]</t>
  </si>
  <si>
    <t>Acceptance (align) [%]</t>
  </si>
  <si>
    <t xml:space="preserve"> fit_err</t>
  </si>
  <si>
    <t xml:space="preserve"> acc_err</t>
  </si>
  <si>
    <t xml:space="preserve"> align_err</t>
  </si>
  <si>
    <t xml:space="preserve"> tot_err</t>
  </si>
  <si>
    <t>S12_</t>
  </si>
  <si>
    <t>S18_</t>
  </si>
  <si>
    <t>S12S18_</t>
  </si>
  <si>
    <t>Sim</t>
  </si>
  <si>
    <t xml:space="preserve"> dMu</t>
  </si>
  <si>
    <t>Tracker</t>
  </si>
  <si>
    <t>Station 12</t>
  </si>
  <si>
    <t>Station 18</t>
  </si>
  <si>
    <t>Combined</t>
  </si>
  <si>
    <t>subli</t>
  </si>
  <si>
    <t>Stat [mrad]</t>
  </si>
  <si>
    <t>Stat [ecm]</t>
  </si>
  <si>
    <t>Stat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</si>
</sst>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11" fontId="0" fillId="0" borderId="0" xfId="0" applyNumberForma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2" fillId="0" borderId="0" xfId="0" applyFont="1"/>
    <xf numFmtId="11" fontId="0" fillId="0" borderId="2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2" fillId="0" borderId="5" xfId="0" applyFont="1" applyBorder="1"/>
    <xf numFmtId="0" fontId="2" fillId="0" borderId="4" xfId="0" applyFont="1" applyBorder="1"/>
    <xf numFmtId="11" fontId="0" fillId="0" borderId="4" xfId="0" applyNumberFormat="1" applyBorder="1"/>
    <xf numFmtId="164" fontId="0" fillId="0" borderId="5" xfId="1" applyNumberFormat="1" applyFont="1" applyBorder="1"/>
    <xf numFmtId="11" fontId="0" fillId="0" borderId="6" xfId="0" applyNumberFormat="1" applyBorder="1"/>
    <xf numFmtId="0" fontId="2" fillId="0" borderId="6" xfId="0" applyFont="1" applyBorder="1"/>
    <xf numFmtId="10" fontId="0" fillId="0" borderId="5" xfId="1" applyNumberFormat="1" applyFont="1" applyBorder="1"/>
    <xf numFmtId="0" fontId="0" fillId="0" borderId="7" xfId="0" applyBorder="1"/>
    <xf numFmtId="9" fontId="0" fillId="0" borderId="7" xfId="1" applyFont="1" applyBorder="1"/>
    <xf numFmtId="0" fontId="0" fillId="0" borderId="3" xfId="0" applyBorder="1"/>
    <xf numFmtId="0" fontId="2" fillId="0" borderId="7" xfId="0" applyFont="1" applyBorder="1"/>
    <xf numFmtId="0" fontId="2" fillId="0" borderId="2" xfId="0" applyFont="1" applyBorder="1"/>
    <xf numFmtId="0" fontId="0" fillId="0" borderId="0" xfId="0" applyBorder="1"/>
    <xf numFmtId="0" fontId="2" fillId="0" borderId="0" xfId="0" applyFont="1" applyFill="1" applyBorder="1"/>
    <xf numFmtId="9" fontId="0" fillId="0" borderId="3" xfId="1" applyFont="1" applyBorder="1"/>
    <xf numFmtId="0" fontId="2" fillId="0" borderId="0" xfId="0" applyFont="1" applyFill="1" applyBorder="1" applyAlignment="1">
      <alignment horizontal="center"/>
    </xf>
    <xf numFmtId="0" fontId="2" fillId="0" borderId="3" xfId="0" applyFont="1" applyBorder="1"/>
    <xf numFmtId="0" fontId="2" fillId="0" borderId="0" xfId="0" applyFont="1" applyBorder="1"/>
    <xf numFmtId="10" fontId="0" fillId="0" borderId="0" xfId="1" applyNumberFormat="1" applyFont="1" applyBorder="1"/>
    <xf numFmtId="10" fontId="0" fillId="0" borderId="7" xfId="1" applyNumberFormat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9BC8-8FD6-3A42-BC4B-E358FAE336B5}">
  <dimension ref="A1:T33"/>
  <sheetViews>
    <sheetView tabSelected="1" workbookViewId="0">
      <selection activeCell="A22" sqref="A2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3" width="12.1640625" bestFit="1" customWidth="1"/>
    <col min="4" max="4" width="10.83203125" customWidth="1"/>
    <col min="5" max="5" width="12.1640625" bestFit="1" customWidth="1"/>
    <col min="6" max="6" width="14.5" bestFit="1" customWidth="1"/>
    <col min="7" max="7" width="12.1640625" bestFit="1" customWidth="1"/>
    <col min="8" max="8" width="18.83203125" bestFit="1" customWidth="1"/>
    <col min="9" max="9" width="9.1640625" customWidth="1"/>
  </cols>
  <sheetData>
    <row r="1" spans="1:20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20" x14ac:dyDescent="0.2">
      <c r="A2" s="11" t="s">
        <v>5</v>
      </c>
      <c r="B2" s="12">
        <f>O6</f>
        <v>1.12729E-18</v>
      </c>
      <c r="C2" s="12">
        <f>O12</f>
        <v>1.05287E-18</v>
      </c>
      <c r="D2" s="12">
        <f>O18</f>
        <v>1.8422999999999998E-18</v>
      </c>
      <c r="E2" s="12">
        <f>O24</f>
        <v>1.56485E-18</v>
      </c>
      <c r="F2" s="1">
        <f>SQRT(B2^2+C2^2+D2^2+E2^2)/4</f>
        <v>7.1685697638632916E-19</v>
      </c>
      <c r="G2">
        <f>STDEV(B2:E2)</f>
        <v>3.7311058882275985E-19</v>
      </c>
      <c r="H2" t="s">
        <v>0</v>
      </c>
      <c r="I2" t="s">
        <v>28</v>
      </c>
      <c r="J2" t="s">
        <v>29</v>
      </c>
      <c r="K2" t="s">
        <v>30</v>
      </c>
      <c r="L2" t="s">
        <v>29</v>
      </c>
    </row>
    <row r="3" spans="1:20" x14ac:dyDescent="0.2">
      <c r="A3" s="15" t="s">
        <v>4</v>
      </c>
      <c r="B3" s="14">
        <f>T6</f>
        <v>2.7118699999999999E-19</v>
      </c>
      <c r="C3" s="14">
        <f>T12</f>
        <v>2.3106199999999998E-19</v>
      </c>
      <c r="D3" s="14">
        <f>T18</f>
        <v>2.3661900000000002E-19</v>
      </c>
      <c r="E3" s="14">
        <f>T24</f>
        <v>1.8836200000000001E-19</v>
      </c>
      <c r="F3" s="1">
        <f>SQRT(B3^2+C3^2+D3^2+E3^2)/4</f>
        <v>1.1683343673206314E-19</v>
      </c>
      <c r="H3" t="s">
        <v>18</v>
      </c>
      <c r="I3" t="s">
        <v>19</v>
      </c>
      <c r="J3" t="s">
        <v>20</v>
      </c>
      <c r="K3" t="s">
        <v>35</v>
      </c>
      <c r="L3" t="s">
        <v>36</v>
      </c>
      <c r="M3" t="s">
        <v>22</v>
      </c>
      <c r="N3" t="s">
        <v>23</v>
      </c>
      <c r="O3" t="s">
        <v>19</v>
      </c>
      <c r="P3" t="s">
        <v>20</v>
      </c>
      <c r="Q3" t="s">
        <v>35</v>
      </c>
      <c r="R3" t="s">
        <v>36</v>
      </c>
      <c r="S3" t="s">
        <v>22</v>
      </c>
      <c r="T3" t="s">
        <v>23</v>
      </c>
    </row>
    <row r="4" spans="1:20" x14ac:dyDescent="0.2">
      <c r="A4" s="10" t="s">
        <v>8</v>
      </c>
      <c r="B4" s="13">
        <f>B3/B2</f>
        <v>0.2405654268200729</v>
      </c>
      <c r="C4" s="13">
        <f t="shared" ref="C4:E4" si="0">C3/C2</f>
        <v>0.21945919249290033</v>
      </c>
      <c r="D4" s="13">
        <f t="shared" si="0"/>
        <v>0.1284367366878359</v>
      </c>
      <c r="E4" s="16">
        <f t="shared" si="0"/>
        <v>0.12037064255359939</v>
      </c>
      <c r="F4" s="2">
        <f>SQRT(B4^2+C4^2+D4^2+E4^2)/4</f>
        <v>9.2540244174678737E-2</v>
      </c>
      <c r="H4" t="s">
        <v>24</v>
      </c>
      <c r="I4">
        <v>0.49249700000000002</v>
      </c>
      <c r="J4">
        <v>9.9625000000000005E-2</v>
      </c>
      <c r="K4">
        <v>3.3287999999999998E-2</v>
      </c>
      <c r="L4">
        <v>2.7465E-2</v>
      </c>
      <c r="M4">
        <v>7.2979999999999998E-3</v>
      </c>
      <c r="N4">
        <v>0.108816</v>
      </c>
      <c r="O4" s="1">
        <v>1.50131E-18</v>
      </c>
      <c r="P4" s="1">
        <v>3.1802599999999998E-19</v>
      </c>
      <c r="Q4" s="1">
        <v>1.06261E-19</v>
      </c>
      <c r="R4" s="1">
        <v>8.7672999999999999E-20</v>
      </c>
      <c r="S4" s="1">
        <v>2.32968E-20</v>
      </c>
      <c r="T4" s="1">
        <v>3.4736299999999998E-19</v>
      </c>
    </row>
    <row r="5" spans="1:20" x14ac:dyDescent="0.2">
      <c r="A5" s="21"/>
      <c r="B5" s="6"/>
      <c r="C5" s="6"/>
      <c r="D5" s="6"/>
      <c r="E5" s="6"/>
      <c r="H5" t="s">
        <v>25</v>
      </c>
      <c r="I5">
        <v>0.180344</v>
      </c>
      <c r="J5">
        <v>0.119869</v>
      </c>
      <c r="K5">
        <v>2.4185999999999999E-2</v>
      </c>
      <c r="L5">
        <v>1.9296000000000001E-2</v>
      </c>
      <c r="M5">
        <v>7.2979999999999998E-3</v>
      </c>
      <c r="N5">
        <v>0.124012</v>
      </c>
      <c r="O5" s="1">
        <v>5.0484499999999999E-19</v>
      </c>
      <c r="P5" s="1">
        <v>3.8264700000000001E-19</v>
      </c>
      <c r="Q5" s="1">
        <v>7.7208699999999998E-20</v>
      </c>
      <c r="R5" s="1">
        <v>6.1596499999999998E-20</v>
      </c>
      <c r="S5" s="1">
        <v>2.32968E-20</v>
      </c>
      <c r="T5" s="1">
        <v>3.9587500000000002E-19</v>
      </c>
    </row>
    <row r="6" spans="1:20" x14ac:dyDescent="0.2">
      <c r="A6" s="23" t="s">
        <v>15</v>
      </c>
      <c r="E6" s="22"/>
      <c r="F6" s="1"/>
      <c r="H6" t="s">
        <v>26</v>
      </c>
      <c r="I6">
        <v>0.37533100000000003</v>
      </c>
      <c r="J6">
        <v>7.7410000000000007E-2</v>
      </c>
      <c r="K6">
        <v>1.8971999999999999E-2</v>
      </c>
      <c r="L6">
        <v>2.8486000000000001E-2</v>
      </c>
      <c r="M6">
        <v>7.2979999999999998E-3</v>
      </c>
      <c r="N6">
        <v>8.4952E-2</v>
      </c>
      <c r="O6" s="1">
        <v>1.12729E-18</v>
      </c>
      <c r="P6" s="1">
        <v>2.4710800000000001E-19</v>
      </c>
      <c r="Q6" s="1">
        <v>6.0562399999999996E-20</v>
      </c>
      <c r="R6" s="1">
        <v>9.0934599999999998E-20</v>
      </c>
      <c r="S6" s="1">
        <v>2.32968E-20</v>
      </c>
      <c r="T6" s="1">
        <v>2.7118699999999999E-19</v>
      </c>
    </row>
    <row r="8" spans="1:20" x14ac:dyDescent="0.2">
      <c r="A8" s="11" t="s">
        <v>11</v>
      </c>
      <c r="B8" s="12">
        <f>M6</f>
        <v>7.2979999999999998E-3</v>
      </c>
      <c r="C8" s="12">
        <f>M12</f>
        <v>8.1720000000000004E-3</v>
      </c>
      <c r="D8" s="12">
        <f>M18</f>
        <v>8.2430000000000003E-3</v>
      </c>
      <c r="E8" s="12">
        <f>M24</f>
        <v>9.1450000000000004E-3</v>
      </c>
      <c r="F8" s="1">
        <f>SQRT(B10^2+C10^2+D10^2+E10^2)/4</f>
        <v>9.9782343759766672E-3</v>
      </c>
      <c r="H8" t="s">
        <v>1</v>
      </c>
      <c r="I8" t="s">
        <v>28</v>
      </c>
      <c r="J8" t="s">
        <v>29</v>
      </c>
      <c r="K8" t="s">
        <v>30</v>
      </c>
      <c r="L8" t="s">
        <v>29</v>
      </c>
    </row>
    <row r="9" spans="1:20" x14ac:dyDescent="0.2">
      <c r="A9" s="15" t="s">
        <v>6</v>
      </c>
      <c r="B9" s="14">
        <f>S6</f>
        <v>2.32968E-20</v>
      </c>
      <c r="C9" s="14">
        <f>S12</f>
        <v>2.6087E-20</v>
      </c>
      <c r="D9" s="14">
        <f>S18</f>
        <v>2.6313399999999999E-20</v>
      </c>
      <c r="E9" s="14">
        <f>S24</f>
        <v>2.91939E-20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35</v>
      </c>
      <c r="L9" t="s">
        <v>36</v>
      </c>
      <c r="M9" t="s">
        <v>22</v>
      </c>
      <c r="N9" t="s">
        <v>23</v>
      </c>
      <c r="O9" t="s">
        <v>19</v>
      </c>
      <c r="P9" t="s">
        <v>20</v>
      </c>
      <c r="Q9" t="s">
        <v>35</v>
      </c>
      <c r="R9" t="s">
        <v>36</v>
      </c>
      <c r="S9" t="s">
        <v>22</v>
      </c>
      <c r="T9" t="s">
        <v>23</v>
      </c>
    </row>
    <row r="10" spans="1:20" x14ac:dyDescent="0.2">
      <c r="A10" s="10" t="s">
        <v>7</v>
      </c>
      <c r="B10" s="16">
        <f>B9/B2</f>
        <v>2.0666199469524256E-2</v>
      </c>
      <c r="C10" s="16">
        <f>C9/C2</f>
        <v>2.4777038000892797E-2</v>
      </c>
      <c r="D10" s="16">
        <f>D9/D2</f>
        <v>1.4282907235520817E-2</v>
      </c>
      <c r="E10" s="16">
        <f>E9/E2</f>
        <v>1.8656037319870915E-2</v>
      </c>
      <c r="F10" s="2">
        <f>SQRT(B12^2+C12^2+D12^2+E12^2)/4</f>
        <v>1.1501908944823029E-2</v>
      </c>
      <c r="H10" t="s">
        <v>24</v>
      </c>
      <c r="I10">
        <v>0.30337399999999998</v>
      </c>
      <c r="J10">
        <v>8.5111000000000006E-2</v>
      </c>
      <c r="K10">
        <v>2.0178999999999999E-2</v>
      </c>
      <c r="L10">
        <v>1.294E-2</v>
      </c>
      <c r="M10">
        <v>8.1720000000000004E-3</v>
      </c>
      <c r="N10">
        <v>8.8799000000000003E-2</v>
      </c>
      <c r="O10" s="1">
        <v>8.9590700000000004E-19</v>
      </c>
      <c r="P10" s="1">
        <v>2.7169200000000002E-19</v>
      </c>
      <c r="Q10" s="1">
        <v>6.4414899999999999E-20</v>
      </c>
      <c r="R10" s="1">
        <v>4.1306000000000001E-20</v>
      </c>
      <c r="S10" s="1">
        <v>2.6087E-20</v>
      </c>
      <c r="T10" s="1">
        <v>2.8346500000000002E-19</v>
      </c>
    </row>
    <row r="11" spans="1:20" x14ac:dyDescent="0.2">
      <c r="A11" s="20"/>
      <c r="B11" s="24"/>
      <c r="C11" s="18"/>
      <c r="D11" s="18"/>
      <c r="E11" s="18"/>
      <c r="H11" t="s">
        <v>25</v>
      </c>
      <c r="I11">
        <v>0.39422800000000002</v>
      </c>
      <c r="J11">
        <v>0.10247000000000001</v>
      </c>
      <c r="K11">
        <v>3.1690000000000003E-2</v>
      </c>
      <c r="L11">
        <v>2.9930999999999999E-2</v>
      </c>
      <c r="M11">
        <v>8.1720000000000004E-3</v>
      </c>
      <c r="N11">
        <v>0.11165600000000001</v>
      </c>
      <c r="O11" s="1">
        <v>1.18593E-18</v>
      </c>
      <c r="P11" s="1">
        <v>3.2710800000000002E-19</v>
      </c>
      <c r="Q11" s="1">
        <v>1.01163E-19</v>
      </c>
      <c r="R11" s="1">
        <v>9.5546899999999998E-20</v>
      </c>
      <c r="S11" s="1">
        <v>2.6087E-20</v>
      </c>
      <c r="T11" s="1">
        <v>3.5643100000000002E-19</v>
      </c>
    </row>
    <row r="12" spans="1:20" x14ac:dyDescent="0.2">
      <c r="A12" s="15" t="s">
        <v>39</v>
      </c>
      <c r="B12" s="14">
        <f>K6</f>
        <v>1.8971999999999999E-2</v>
      </c>
      <c r="C12" s="12">
        <f>K12</f>
        <v>1.8539E-2</v>
      </c>
      <c r="D12" s="12">
        <f>K18</f>
        <v>2.8611000000000001E-2</v>
      </c>
      <c r="E12" s="12">
        <f>K24</f>
        <v>2.4382000000000001E-2</v>
      </c>
      <c r="F12" s="1">
        <f>SQRT(B14^2+C14^2+D14^2+E14^2)/4</f>
        <v>2.6192995387233454E-2</v>
      </c>
      <c r="G12" t="s">
        <v>61</v>
      </c>
      <c r="H12" t="s">
        <v>26</v>
      </c>
      <c r="I12">
        <v>0.352543</v>
      </c>
      <c r="J12">
        <v>6.6155000000000005E-2</v>
      </c>
      <c r="K12">
        <v>1.8539E-2</v>
      </c>
      <c r="L12">
        <v>2.1269E-2</v>
      </c>
      <c r="M12">
        <v>8.1720000000000004E-3</v>
      </c>
      <c r="N12">
        <v>7.2383000000000003E-2</v>
      </c>
      <c r="O12" s="1">
        <v>1.05287E-18</v>
      </c>
      <c r="P12" s="1">
        <v>2.1118E-19</v>
      </c>
      <c r="Q12" s="1">
        <v>5.91793E-20</v>
      </c>
      <c r="R12" s="1">
        <v>6.7895300000000001E-20</v>
      </c>
      <c r="S12" s="1">
        <v>2.6087E-20</v>
      </c>
      <c r="T12" s="1">
        <v>2.3106199999999998E-19</v>
      </c>
    </row>
    <row r="13" spans="1:20" x14ac:dyDescent="0.2">
      <c r="A13" s="15" t="s">
        <v>40</v>
      </c>
      <c r="B13" s="14">
        <f>Q6</f>
        <v>6.0562399999999996E-20</v>
      </c>
      <c r="C13" s="14">
        <f>Q12</f>
        <v>5.91793E-20</v>
      </c>
      <c r="D13" s="14">
        <f>Q18</f>
        <v>9.1332E-20</v>
      </c>
      <c r="E13" s="14">
        <f>Q24</f>
        <v>7.7833600000000003E-20</v>
      </c>
      <c r="F13" s="1">
        <f>SQRT(B19^2+C19^2+D19^2+E19^2)/4</f>
        <v>0</v>
      </c>
    </row>
    <row r="14" spans="1:20" x14ac:dyDescent="0.2">
      <c r="A14" s="10" t="s">
        <v>41</v>
      </c>
      <c r="B14" s="16">
        <f>B13/B2</f>
        <v>5.3723886488836053E-2</v>
      </c>
      <c r="C14" s="16">
        <f>C13/C2</f>
        <v>5.6207603977699049E-2</v>
      </c>
      <c r="D14" s="16">
        <f>D13/D2</f>
        <v>4.9574987787005378E-2</v>
      </c>
      <c r="E14" s="16">
        <f>E13/E2</f>
        <v>4.9738696999712437E-2</v>
      </c>
      <c r="F14" s="2">
        <f>SQRT(B20^2+C20^2+D20^2+E20^2)/4</f>
        <v>3.0555205581455348E-2</v>
      </c>
      <c r="H14" t="s">
        <v>37</v>
      </c>
      <c r="I14" t="s">
        <v>28</v>
      </c>
      <c r="J14" t="s">
        <v>29</v>
      </c>
      <c r="K14" t="s">
        <v>30</v>
      </c>
      <c r="L14" t="s">
        <v>29</v>
      </c>
    </row>
    <row r="15" spans="1:20" x14ac:dyDescent="0.2">
      <c r="A15" s="20"/>
      <c r="B15" s="29"/>
      <c r="C15" s="28"/>
      <c r="D15" s="28"/>
      <c r="E15" s="28"/>
      <c r="F15" s="2"/>
      <c r="H15" t="s">
        <v>18</v>
      </c>
      <c r="I15" t="s">
        <v>19</v>
      </c>
      <c r="J15" t="s">
        <v>20</v>
      </c>
      <c r="K15" t="s">
        <v>35</v>
      </c>
      <c r="L15" t="s">
        <v>36</v>
      </c>
      <c r="M15" t="s">
        <v>22</v>
      </c>
      <c r="N15" t="s">
        <v>23</v>
      </c>
      <c r="O15" t="s">
        <v>19</v>
      </c>
      <c r="P15" t="s">
        <v>20</v>
      </c>
      <c r="Q15" t="s">
        <v>35</v>
      </c>
      <c r="R15" t="s">
        <v>36</v>
      </c>
      <c r="S15" t="s">
        <v>22</v>
      </c>
      <c r="T15" t="s">
        <v>23</v>
      </c>
    </row>
    <row r="16" spans="1:20" x14ac:dyDescent="0.2">
      <c r="A16" s="15" t="s">
        <v>45</v>
      </c>
      <c r="B16" s="14">
        <f>L6</f>
        <v>2.8486000000000001E-2</v>
      </c>
      <c r="C16" s="12">
        <f>L12</f>
        <v>2.1269E-2</v>
      </c>
      <c r="D16" s="12">
        <f>L18</f>
        <v>4.0446999999999997E-2</v>
      </c>
      <c r="E16" s="12">
        <f>L24</f>
        <v>3.4731999999999999E-2</v>
      </c>
      <c r="F16" s="2"/>
      <c r="H16" t="s">
        <v>24</v>
      </c>
      <c r="I16">
        <v>0.56947300000000001</v>
      </c>
      <c r="J16">
        <v>6.9816000000000003E-2</v>
      </c>
      <c r="K16">
        <v>3.5511000000000001E-2</v>
      </c>
      <c r="L16">
        <v>2.9727E-2</v>
      </c>
      <c r="M16">
        <v>8.2430000000000003E-3</v>
      </c>
      <c r="N16">
        <v>8.4183999999999995E-2</v>
      </c>
      <c r="O16" s="1">
        <v>1.72338E-18</v>
      </c>
      <c r="P16" s="1">
        <v>2.2286700000000001E-19</v>
      </c>
      <c r="Q16" s="1">
        <v>1.13359E-19</v>
      </c>
      <c r="R16" s="1">
        <v>9.4894799999999998E-20</v>
      </c>
      <c r="S16" s="1">
        <v>2.6313399999999999E-20</v>
      </c>
      <c r="T16" s="1">
        <v>2.6873299999999998E-19</v>
      </c>
    </row>
    <row r="17" spans="1:20" x14ac:dyDescent="0.2">
      <c r="A17" s="15" t="s">
        <v>46</v>
      </c>
      <c r="B17" s="14">
        <f>R6</f>
        <v>9.0934599999999998E-20</v>
      </c>
      <c r="C17" s="14">
        <f>R12</f>
        <v>6.7895300000000001E-20</v>
      </c>
      <c r="D17" s="14">
        <f>R18</f>
        <v>1.2911700000000001E-19</v>
      </c>
      <c r="E17" s="14">
        <f>R24</f>
        <v>1.10871E-19</v>
      </c>
      <c r="F17" s="2"/>
      <c r="H17" t="s">
        <v>25</v>
      </c>
      <c r="I17">
        <v>0.61294899999999997</v>
      </c>
      <c r="J17">
        <v>8.4864999999999996E-2</v>
      </c>
      <c r="K17">
        <v>4.3679999999999997E-2</v>
      </c>
      <c r="L17">
        <v>4.8372999999999999E-2</v>
      </c>
      <c r="M17">
        <v>8.2430000000000003E-3</v>
      </c>
      <c r="N17">
        <v>0.107322</v>
      </c>
      <c r="O17" s="1">
        <v>1.86217E-18</v>
      </c>
      <c r="P17" s="1">
        <v>2.7090899999999998E-19</v>
      </c>
      <c r="Q17" s="1">
        <v>1.39436E-19</v>
      </c>
      <c r="R17" s="1">
        <v>1.54418E-19</v>
      </c>
      <c r="S17" s="1">
        <v>2.6313399999999999E-20</v>
      </c>
      <c r="T17" s="1">
        <v>3.42595E-19</v>
      </c>
    </row>
    <row r="18" spans="1:20" x14ac:dyDescent="0.2">
      <c r="A18" s="10" t="s">
        <v>47</v>
      </c>
      <c r="B18" s="16">
        <f>B17/B2</f>
        <v>8.0666554302796969E-2</v>
      </c>
      <c r="C18" s="16">
        <f t="shared" ref="B18:D18" si="1">C17/C2</f>
        <v>6.4485928937095746E-2</v>
      </c>
      <c r="D18" s="16">
        <f t="shared" si="1"/>
        <v>7.0084676762742229E-2</v>
      </c>
      <c r="E18" s="16">
        <f>E17/E2</f>
        <v>7.0850880276064801E-2</v>
      </c>
      <c r="H18" t="s">
        <v>26</v>
      </c>
      <c r="I18">
        <v>0.60672400000000004</v>
      </c>
      <c r="J18">
        <v>5.4514E-2</v>
      </c>
      <c r="K18">
        <v>2.8611000000000001E-2</v>
      </c>
      <c r="L18">
        <v>4.0446999999999997E-2</v>
      </c>
      <c r="M18">
        <v>8.2430000000000003E-3</v>
      </c>
      <c r="N18">
        <v>7.4123999999999995E-2</v>
      </c>
      <c r="O18" s="1">
        <v>1.8422999999999998E-18</v>
      </c>
      <c r="P18" s="1">
        <v>1.74021E-19</v>
      </c>
      <c r="Q18" s="1">
        <v>9.1332E-20</v>
      </c>
      <c r="R18" s="1">
        <v>1.2911700000000001E-19</v>
      </c>
      <c r="S18" s="1">
        <v>2.6313399999999999E-20</v>
      </c>
      <c r="T18" s="1">
        <v>2.3661900000000002E-19</v>
      </c>
    </row>
    <row r="19" spans="1:20" x14ac:dyDescent="0.2">
      <c r="A19" s="26"/>
      <c r="B19" s="19"/>
      <c r="C19" s="19"/>
      <c r="D19" s="19"/>
      <c r="E19" s="19"/>
      <c r="F19" s="1">
        <f>SQRT(B22^2+C22^2+D22^2+E22^2)/4</f>
        <v>8.0564875314760767E-2</v>
      </c>
    </row>
    <row r="20" spans="1:20" x14ac:dyDescent="0.2">
      <c r="A20" s="15" t="s">
        <v>62</v>
      </c>
      <c r="B20" s="14">
        <f>J6</f>
        <v>7.7410000000000007E-2</v>
      </c>
      <c r="C20" s="14">
        <f>J12</f>
        <v>6.6155000000000005E-2</v>
      </c>
      <c r="D20" s="14">
        <f>J18</f>
        <v>5.4514E-2</v>
      </c>
      <c r="E20" s="14">
        <f>J24</f>
        <v>3.9967000000000003E-2</v>
      </c>
      <c r="F20" s="1">
        <f>SQRT(B23^2+C23^2+D23^2+E23^2)/4</f>
        <v>0</v>
      </c>
      <c r="H20" t="s">
        <v>38</v>
      </c>
      <c r="I20" t="s">
        <v>28</v>
      </c>
      <c r="J20" t="s">
        <v>29</v>
      </c>
      <c r="K20" t="s">
        <v>30</v>
      </c>
      <c r="L20" t="s">
        <v>29</v>
      </c>
    </row>
    <row r="21" spans="1:20" x14ac:dyDescent="0.2">
      <c r="A21" s="15" t="s">
        <v>63</v>
      </c>
      <c r="B21" s="14">
        <f>P6</f>
        <v>2.4710800000000001E-19</v>
      </c>
      <c r="C21" s="14">
        <f>P12</f>
        <v>2.1118E-19</v>
      </c>
      <c r="D21" s="14">
        <f>P18</f>
        <v>1.74021E-19</v>
      </c>
      <c r="E21" s="14">
        <f>P24</f>
        <v>1.2758299999999999E-19</v>
      </c>
      <c r="F21" s="2">
        <f>SQRT(B24^2+C24^2+D24^2+E24^2)/4</f>
        <v>0</v>
      </c>
      <c r="H21" t="s">
        <v>18</v>
      </c>
      <c r="I21" t="s">
        <v>19</v>
      </c>
      <c r="J21" t="s">
        <v>20</v>
      </c>
      <c r="K21" t="s">
        <v>35</v>
      </c>
      <c r="L21" t="s">
        <v>36</v>
      </c>
      <c r="M21" t="s">
        <v>22</v>
      </c>
      <c r="N21" t="s">
        <v>23</v>
      </c>
      <c r="O21" t="s">
        <v>19</v>
      </c>
      <c r="P21" t="s">
        <v>20</v>
      </c>
      <c r="Q21" t="s">
        <v>35</v>
      </c>
      <c r="R21" t="s">
        <v>36</v>
      </c>
      <c r="S21" t="s">
        <v>22</v>
      </c>
      <c r="T21" t="s">
        <v>23</v>
      </c>
    </row>
    <row r="22" spans="1:20" x14ac:dyDescent="0.2">
      <c r="A22" s="10" t="s">
        <v>64</v>
      </c>
      <c r="B22" s="13">
        <f>B21/B2</f>
        <v>0.21920535088575258</v>
      </c>
      <c r="C22" s="13">
        <f>C21/C2</f>
        <v>0.200575569633478</v>
      </c>
      <c r="D22" s="16">
        <f>D21/D2</f>
        <v>9.4458557238234819E-2</v>
      </c>
      <c r="E22" s="16">
        <f>E21/E2</f>
        <v>8.1530498130811258E-2</v>
      </c>
      <c r="H22" t="s">
        <v>24</v>
      </c>
      <c r="I22">
        <v>0.47294999999999998</v>
      </c>
      <c r="J22">
        <v>5.0963000000000001E-2</v>
      </c>
      <c r="K22">
        <v>2.8503000000000001E-2</v>
      </c>
      <c r="L22">
        <v>2.6859000000000001E-2</v>
      </c>
      <c r="M22">
        <v>9.1450000000000004E-3</v>
      </c>
      <c r="N22">
        <v>6.4920000000000005E-2</v>
      </c>
      <c r="O22" s="1">
        <v>1.40033E-18</v>
      </c>
      <c r="P22" s="1">
        <v>1.62684E-19</v>
      </c>
      <c r="Q22" s="1">
        <v>9.0988299999999996E-20</v>
      </c>
      <c r="R22" s="1">
        <v>8.5739800000000005E-20</v>
      </c>
      <c r="S22" s="1">
        <v>2.91939E-20</v>
      </c>
      <c r="T22" s="1">
        <v>2.0723999999999999E-19</v>
      </c>
    </row>
    <row r="23" spans="1:20" x14ac:dyDescent="0.2">
      <c r="A23" s="20"/>
      <c r="B23" s="17"/>
      <c r="C23" s="17"/>
      <c r="D23" s="17"/>
      <c r="E23" s="17"/>
      <c r="H23" t="s">
        <v>25</v>
      </c>
      <c r="I23">
        <v>0.57680699999999996</v>
      </c>
      <c r="J23">
        <v>6.2549999999999994E-2</v>
      </c>
      <c r="K23">
        <v>3.9248999999999999E-2</v>
      </c>
      <c r="L23">
        <v>4.3192000000000001E-2</v>
      </c>
      <c r="M23">
        <v>9.1450000000000004E-3</v>
      </c>
      <c r="N23">
        <v>8.6036000000000001E-2</v>
      </c>
      <c r="O23" s="1">
        <v>1.73187E-18</v>
      </c>
      <c r="P23" s="1">
        <v>1.99672E-19</v>
      </c>
      <c r="Q23" s="1">
        <v>1.25292E-19</v>
      </c>
      <c r="R23" s="1">
        <v>1.3787800000000001E-19</v>
      </c>
      <c r="S23" s="1">
        <v>2.91939E-20</v>
      </c>
      <c r="T23" s="1">
        <v>2.74645E-19</v>
      </c>
    </row>
    <row r="24" spans="1:20" x14ac:dyDescent="0.2">
      <c r="A24" s="7" t="s">
        <v>16</v>
      </c>
      <c r="B24" s="9"/>
      <c r="C24" s="9"/>
      <c r="D24" s="9"/>
      <c r="E24" s="9"/>
      <c r="H24" t="s">
        <v>26</v>
      </c>
      <c r="I24">
        <v>0.52448600000000001</v>
      </c>
      <c r="J24">
        <v>3.9967000000000003E-2</v>
      </c>
      <c r="K24">
        <v>2.4382000000000001E-2</v>
      </c>
      <c r="L24">
        <v>3.4731999999999999E-2</v>
      </c>
      <c r="M24">
        <v>9.1450000000000004E-3</v>
      </c>
      <c r="N24">
        <v>5.9006999999999997E-2</v>
      </c>
      <c r="O24" s="1">
        <v>1.56485E-18</v>
      </c>
      <c r="P24" s="1">
        <v>1.2758299999999999E-19</v>
      </c>
      <c r="Q24" s="1">
        <v>7.7833600000000003E-20</v>
      </c>
      <c r="R24" s="1">
        <v>1.10871E-19</v>
      </c>
      <c r="S24" s="1">
        <v>2.91939E-20</v>
      </c>
      <c r="T24" s="1">
        <v>1.8836200000000001E-19</v>
      </c>
    </row>
    <row r="25" spans="1:20" x14ac:dyDescent="0.2">
      <c r="A25" s="11" t="s">
        <v>13</v>
      </c>
      <c r="B25" s="12">
        <f>SQRT(B21^2+B13^2+B17^2+B9^2)</f>
        <v>2.7118630187596129E-19</v>
      </c>
      <c r="C25" s="12">
        <f t="shared" ref="C25:E25" si="2">SQRT(C21^2+C13^2+C17^2+C9^2)</f>
        <v>2.3106164822310947E-19</v>
      </c>
      <c r="D25" s="12">
        <f t="shared" si="2"/>
        <v>2.3661875955545029E-19</v>
      </c>
      <c r="E25" s="12">
        <f t="shared" si="2"/>
        <v>1.8836176261696533E-19</v>
      </c>
    </row>
    <row r="26" spans="1:20" x14ac:dyDescent="0.2">
      <c r="A26" s="10" t="s">
        <v>14</v>
      </c>
      <c r="B26" s="13">
        <f>B25/B2</f>
        <v>0.24056480752597936</v>
      </c>
      <c r="C26" s="13">
        <f>C25/C2</f>
        <v>0.21945885838053081</v>
      </c>
      <c r="D26" s="13">
        <f>D25/D2</f>
        <v>0.12843660617459171</v>
      </c>
      <c r="E26" s="16">
        <f>E25/E2</f>
        <v>0.12037049085660947</v>
      </c>
    </row>
    <row r="27" spans="1:20" x14ac:dyDescent="0.2">
      <c r="A27" s="5"/>
      <c r="B27" s="1"/>
      <c r="C27" s="1"/>
      <c r="D27" s="1"/>
      <c r="E27" s="1"/>
    </row>
    <row r="28" spans="1:20" x14ac:dyDescent="0.2">
      <c r="A28" s="5"/>
      <c r="B28" s="3"/>
      <c r="C28" s="3"/>
      <c r="D28" s="3"/>
      <c r="E28" s="4"/>
    </row>
    <row r="29" spans="1:20" x14ac:dyDescent="0.2">
      <c r="C29" s="1"/>
    </row>
    <row r="30" spans="1:20" x14ac:dyDescent="0.2">
      <c r="A30" s="5" t="s">
        <v>27</v>
      </c>
      <c r="B30" s="1">
        <f>B3-B25</f>
        <v>6.9812403869814024E-25</v>
      </c>
      <c r="C30" s="1">
        <f>C3-C25</f>
        <v>3.5177689050995705E-25</v>
      </c>
      <c r="D30" s="1">
        <f>D3-D25</f>
        <v>2.4044454973675999E-25</v>
      </c>
      <c r="E30" s="1">
        <f>E3-E25</f>
        <v>2.3738303468222868E-25</v>
      </c>
    </row>
    <row r="31" spans="1:20" x14ac:dyDescent="0.2">
      <c r="B31" s="1">
        <f>SQRT(B23^2+C23^2+D23^2+E23^2)/4</f>
        <v>0</v>
      </c>
    </row>
    <row r="33" spans="2:3" x14ac:dyDescent="0.2">
      <c r="B33" s="1"/>
      <c r="C33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5896-C4A9-3544-8AEE-A53C2900D99C}">
  <dimension ref="A1:Q29"/>
  <sheetViews>
    <sheetView workbookViewId="0">
      <selection activeCell="L18" sqref="L1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3" width="12.1640625" bestFit="1" customWidth="1"/>
    <col min="5" max="5" width="14.1640625" bestFit="1" customWidth="1"/>
    <col min="6" max="6" width="14.5" bestFit="1" customWidth="1"/>
    <col min="7" max="7" width="12.1640625" bestFit="1" customWidth="1"/>
    <col min="8" max="8" width="18.83203125" bestFit="1" customWidth="1"/>
    <col min="9" max="9" width="9.1640625" customWidth="1"/>
  </cols>
  <sheetData>
    <row r="1" spans="1:17" x14ac:dyDescent="0.2">
      <c r="A1" s="7" t="s">
        <v>17</v>
      </c>
      <c r="B1" s="8" t="s">
        <v>55</v>
      </c>
      <c r="C1" s="1"/>
      <c r="E1" s="25" t="s">
        <v>34</v>
      </c>
    </row>
    <row r="2" spans="1:17" x14ac:dyDescent="0.2">
      <c r="A2" s="11" t="s">
        <v>5</v>
      </c>
      <c r="B2" s="12">
        <f>K6</f>
        <v>5.3435399999999998E-18</v>
      </c>
      <c r="C2" s="1"/>
      <c r="D2" t="e">
        <f>STDEV(B2:B2)</f>
        <v>#DIV/0!</v>
      </c>
      <c r="F2" t="s">
        <v>28</v>
      </c>
      <c r="G2" t="s">
        <v>29</v>
      </c>
      <c r="H2" t="s">
        <v>30</v>
      </c>
      <c r="I2" t="s">
        <v>29</v>
      </c>
    </row>
    <row r="3" spans="1:17" x14ac:dyDescent="0.2">
      <c r="A3" s="15" t="s">
        <v>4</v>
      </c>
      <c r="B3" s="14">
        <f>O6</f>
        <v>4.9916800000000003E-19</v>
      </c>
      <c r="C3" s="1"/>
      <c r="E3" t="s">
        <v>18</v>
      </c>
      <c r="F3" t="s">
        <v>19</v>
      </c>
      <c r="G3" t="s">
        <v>48</v>
      </c>
      <c r="H3" t="s">
        <v>49</v>
      </c>
      <c r="I3" t="s">
        <v>50</v>
      </c>
      <c r="J3" t="s">
        <v>51</v>
      </c>
      <c r="K3" t="s">
        <v>56</v>
      </c>
      <c r="L3" t="s">
        <v>48</v>
      </c>
      <c r="M3" t="s">
        <v>49</v>
      </c>
      <c r="N3" t="s">
        <v>50</v>
      </c>
      <c r="O3" t="s">
        <v>51</v>
      </c>
    </row>
    <row r="4" spans="1:17" x14ac:dyDescent="0.2">
      <c r="A4" s="10" t="s">
        <v>8</v>
      </c>
      <c r="B4" s="13">
        <f>B3/B2</f>
        <v>9.3415226610074981E-2</v>
      </c>
      <c r="C4" s="2"/>
      <c r="E4" t="s">
        <v>52</v>
      </c>
      <c r="F4">
        <v>1.666417</v>
      </c>
      <c r="G4">
        <v>9.6518999999999994E-2</v>
      </c>
      <c r="H4">
        <v>9.8921999999999996E-2</v>
      </c>
      <c r="I4">
        <v>9.7372E-2</v>
      </c>
      <c r="J4">
        <v>0.16906499999999999</v>
      </c>
      <c r="K4" s="1">
        <v>5.3195699999999998E-18</v>
      </c>
      <c r="L4" s="1">
        <v>3.0810900000000001E-19</v>
      </c>
      <c r="M4" s="1">
        <v>3.1578300000000001E-19</v>
      </c>
      <c r="N4" s="1">
        <v>3.1083399999999998E-19</v>
      </c>
      <c r="O4" s="1">
        <v>5.3969299999999996E-19</v>
      </c>
      <c r="P4" s="1"/>
      <c r="Q4" s="1"/>
    </row>
    <row r="5" spans="1:17" x14ac:dyDescent="0.2">
      <c r="A5" s="21"/>
      <c r="B5" s="6"/>
      <c r="E5" t="s">
        <v>53</v>
      </c>
      <c r="F5">
        <v>1.68001</v>
      </c>
      <c r="G5">
        <v>0.111913</v>
      </c>
      <c r="H5">
        <v>0.109622</v>
      </c>
      <c r="I5">
        <v>0.13072600000000001</v>
      </c>
      <c r="J5">
        <v>0.204036</v>
      </c>
      <c r="K5" s="1">
        <v>5.3629600000000002E-18</v>
      </c>
      <c r="L5" s="1">
        <v>3.5725000000000002E-19</v>
      </c>
      <c r="M5" s="1">
        <v>3.4993899999999999E-19</v>
      </c>
      <c r="N5" s="1">
        <v>4.1730699999999999E-19</v>
      </c>
      <c r="O5" s="1">
        <v>6.5132899999999995E-19</v>
      </c>
      <c r="P5" s="1"/>
      <c r="Q5" s="1"/>
    </row>
    <row r="6" spans="1:17" x14ac:dyDescent="0.2">
      <c r="A6" s="23" t="s">
        <v>15</v>
      </c>
      <c r="C6" s="1"/>
      <c r="E6" t="s">
        <v>54</v>
      </c>
      <c r="F6">
        <v>1.673926</v>
      </c>
      <c r="G6">
        <v>7.3662000000000005E-2</v>
      </c>
      <c r="H6">
        <v>7.8446000000000002E-2</v>
      </c>
      <c r="I6">
        <v>0.113454</v>
      </c>
      <c r="J6">
        <v>0.15637000000000001</v>
      </c>
      <c r="K6" s="1">
        <v>5.3435399999999998E-18</v>
      </c>
      <c r="L6" s="1">
        <v>2.35144E-19</v>
      </c>
      <c r="M6" s="1">
        <v>2.5041800000000001E-19</v>
      </c>
      <c r="N6" s="1">
        <v>3.6217E-19</v>
      </c>
      <c r="O6" s="1">
        <v>4.9916800000000003E-19</v>
      </c>
      <c r="P6" s="1"/>
      <c r="Q6" s="1"/>
    </row>
    <row r="8" spans="1:17" x14ac:dyDescent="0.2">
      <c r="A8" s="15" t="s">
        <v>39</v>
      </c>
      <c r="B8" s="14">
        <f>H6</f>
        <v>7.8446000000000002E-2</v>
      </c>
      <c r="C8" s="1"/>
    </row>
    <row r="9" spans="1:17" x14ac:dyDescent="0.2">
      <c r="A9" s="15" t="s">
        <v>40</v>
      </c>
      <c r="B9" s="14">
        <f>M6</f>
        <v>2.5041800000000001E-19</v>
      </c>
      <c r="C9" s="1"/>
    </row>
    <row r="10" spans="1:17" x14ac:dyDescent="0.2">
      <c r="A10" s="10" t="s">
        <v>41</v>
      </c>
      <c r="B10" s="16">
        <f>B9/B2</f>
        <v>4.6863689614001211E-2</v>
      </c>
      <c r="C10" s="2"/>
      <c r="K10" s="1"/>
      <c r="L10" s="1"/>
    </row>
    <row r="11" spans="1:17" x14ac:dyDescent="0.2">
      <c r="A11" s="27"/>
      <c r="B11" s="28"/>
      <c r="E11" t="s">
        <v>57</v>
      </c>
      <c r="F11" t="s">
        <v>56</v>
      </c>
      <c r="G11" t="s">
        <v>48</v>
      </c>
      <c r="H11" t="s">
        <v>49</v>
      </c>
      <c r="I11" t="s">
        <v>50</v>
      </c>
      <c r="J11" t="s">
        <v>51</v>
      </c>
      <c r="K11" s="1"/>
      <c r="L11" s="1"/>
    </row>
    <row r="12" spans="1:17" x14ac:dyDescent="0.2">
      <c r="A12" s="15" t="s">
        <v>45</v>
      </c>
      <c r="B12" s="14">
        <f>I6</f>
        <v>0.113454</v>
      </c>
      <c r="C12" s="1"/>
      <c r="E12" t="s">
        <v>58</v>
      </c>
      <c r="F12" s="1">
        <v>5.3195699999999998E-18</v>
      </c>
      <c r="G12" s="1">
        <v>3.0810900000000001E-19</v>
      </c>
      <c r="H12" s="1">
        <v>3.1578300000000001E-19</v>
      </c>
      <c r="I12" s="1">
        <v>3.1083399999999998E-19</v>
      </c>
      <c r="J12" s="1">
        <v>5.3969299999999996E-19</v>
      </c>
      <c r="K12" s="1"/>
      <c r="L12" s="1"/>
    </row>
    <row r="13" spans="1:17" x14ac:dyDescent="0.2">
      <c r="A13" s="15" t="s">
        <v>46</v>
      </c>
      <c r="B13" s="14">
        <f>N6</f>
        <v>3.6217E-19</v>
      </c>
      <c r="C13" s="1"/>
      <c r="E13" t="s">
        <v>59</v>
      </c>
      <c r="F13" s="1">
        <v>5.3629600000000002E-18</v>
      </c>
      <c r="G13" s="1">
        <v>3.5725000000000002E-19</v>
      </c>
      <c r="H13" s="1">
        <v>3.4993899999999999E-19</v>
      </c>
      <c r="I13" s="1">
        <v>4.1730699999999999E-19</v>
      </c>
      <c r="J13" s="1">
        <v>6.5132899999999995E-19</v>
      </c>
    </row>
    <row r="14" spans="1:17" x14ac:dyDescent="0.2">
      <c r="A14" s="10" t="s">
        <v>47</v>
      </c>
      <c r="B14" s="16">
        <f>B13/B2</f>
        <v>6.7777166447710702E-2</v>
      </c>
      <c r="C14" s="2"/>
      <c r="E14" t="s">
        <v>60</v>
      </c>
      <c r="F14" s="1">
        <v>5.3435399999999998E-18</v>
      </c>
      <c r="G14" s="1">
        <v>2.35144E-19</v>
      </c>
      <c r="H14" s="1">
        <v>2.5041800000000001E-19</v>
      </c>
      <c r="I14" s="1">
        <v>3.6217E-19</v>
      </c>
      <c r="J14" s="1">
        <v>4.9916800000000003E-19</v>
      </c>
    </row>
    <row r="15" spans="1:17" x14ac:dyDescent="0.2">
      <c r="A15" s="26"/>
      <c r="B15" s="19"/>
      <c r="C15" s="2"/>
    </row>
    <row r="16" spans="1:17" x14ac:dyDescent="0.2">
      <c r="A16" s="15" t="s">
        <v>42</v>
      </c>
      <c r="B16" s="14">
        <f>G6</f>
        <v>7.3662000000000005E-2</v>
      </c>
      <c r="C16" s="2"/>
      <c r="L16" s="1"/>
      <c r="M16" s="1"/>
      <c r="N16" s="1"/>
      <c r="O16" s="1"/>
      <c r="P16" s="1"/>
      <c r="Q16" s="1"/>
    </row>
    <row r="17" spans="1:17" x14ac:dyDescent="0.2">
      <c r="A17" s="15" t="s">
        <v>43</v>
      </c>
      <c r="B17" s="14">
        <f>L6</f>
        <v>2.35144E-19</v>
      </c>
      <c r="C17" s="2"/>
      <c r="L17" s="1"/>
      <c r="M17" s="1"/>
      <c r="N17" s="1"/>
      <c r="O17" s="1"/>
      <c r="P17" s="1"/>
      <c r="Q17" s="1"/>
    </row>
    <row r="18" spans="1:17" x14ac:dyDescent="0.2">
      <c r="A18" s="10" t="s">
        <v>44</v>
      </c>
      <c r="B18" s="13">
        <f>B17/B2</f>
        <v>4.4005284886049323E-2</v>
      </c>
      <c r="L18" s="1"/>
      <c r="M18" s="1"/>
      <c r="N18" s="1"/>
      <c r="O18" s="1"/>
      <c r="P18" s="1"/>
      <c r="Q18" s="1"/>
    </row>
    <row r="19" spans="1:17" x14ac:dyDescent="0.2">
      <c r="A19" s="20"/>
      <c r="B19" s="17"/>
      <c r="C19" s="1"/>
    </row>
    <row r="20" spans="1:17" x14ac:dyDescent="0.2">
      <c r="A20" s="7" t="s">
        <v>16</v>
      </c>
      <c r="B20" s="9"/>
      <c r="C20" s="1"/>
    </row>
    <row r="21" spans="1:17" x14ac:dyDescent="0.2">
      <c r="A21" s="11" t="s">
        <v>13</v>
      </c>
      <c r="B21" s="12">
        <f>SQRT(B17^2+B9^2+B13^2)</f>
        <v>4.991682926228388E-19</v>
      </c>
      <c r="C21" s="2"/>
    </row>
    <row r="22" spans="1:17" x14ac:dyDescent="0.2">
      <c r="A22" s="10" t="s">
        <v>14</v>
      </c>
      <c r="B22" s="13">
        <f>B21/B2</f>
        <v>9.34152813720565E-2</v>
      </c>
      <c r="L22" s="1"/>
      <c r="M22" s="1"/>
      <c r="N22" s="1"/>
      <c r="O22" s="1"/>
      <c r="P22" s="1"/>
      <c r="Q22" s="1"/>
    </row>
    <row r="23" spans="1:17" x14ac:dyDescent="0.2">
      <c r="A23" s="5"/>
      <c r="B23" s="1"/>
      <c r="L23" s="1"/>
      <c r="M23" s="1"/>
      <c r="N23" s="1"/>
      <c r="O23" s="1"/>
      <c r="P23" s="1"/>
      <c r="Q23" s="1"/>
    </row>
    <row r="24" spans="1:17" x14ac:dyDescent="0.2">
      <c r="A24" s="5"/>
      <c r="B24" s="3"/>
      <c r="L24" s="1"/>
      <c r="M24" s="1"/>
      <c r="N24" s="1"/>
      <c r="O24" s="1"/>
      <c r="P24" s="1"/>
      <c r="Q24" s="1"/>
    </row>
    <row r="26" spans="1:17" x14ac:dyDescent="0.2">
      <c r="A26" s="5" t="s">
        <v>27</v>
      </c>
      <c r="B26" s="1">
        <f>B3-B21</f>
        <v>-2.926228387736565E-25</v>
      </c>
    </row>
    <row r="27" spans="1:17" x14ac:dyDescent="0.2">
      <c r="B27" s="1" t="e">
        <f>SQRT(B19^2+#REF!^2+#REF!^2+#REF!^2)/4</f>
        <v>#REF!</v>
      </c>
    </row>
    <row r="29" spans="1:17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FC9BD-960C-B249-A82F-F026B7E24375}">
  <dimension ref="A1:R29"/>
  <sheetViews>
    <sheetView zoomScale="75" workbookViewId="0">
      <selection activeCell="C9" sqref="C9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7" max="7" width="13.3320312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G2">
        <f>STDEV(B2:E2)</f>
        <v>3.1780943990332736E-19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6FEE3-3B95-A74A-B9AB-147435730300}">
  <dimension ref="A1:R30"/>
  <sheetViews>
    <sheetView topLeftCell="F1" zoomScale="75" workbookViewId="0">
      <selection activeCell="P38" sqref="P3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6.3074600000000002E-19</v>
      </c>
      <c r="C2" s="12">
        <f>N12</f>
        <v>5.5635200000000002E-19</v>
      </c>
      <c r="D2" s="12">
        <f>N18</f>
        <v>8.9208199999999998E-19</v>
      </c>
      <c r="E2" s="12">
        <f>N24</f>
        <v>7.2022399999999996E-19</v>
      </c>
      <c r="F2" s="1">
        <f>SQRT(B2^2+C2^2+D2^2+E2^2)/4</f>
        <v>3.5548391044110563E-19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1.2319699999999999E-19</v>
      </c>
      <c r="C3" s="14">
        <f>R12</f>
        <v>1.06528E-19</v>
      </c>
      <c r="D3" s="14">
        <f>R18</f>
        <v>9.0527899999999996E-20</v>
      </c>
      <c r="E3" s="14">
        <f>R24</f>
        <v>6.9167399999999995E-20</v>
      </c>
      <c r="F3" s="1">
        <f t="shared" ref="F3:F4" si="0">SQRT(B3^2+C3^2+D3^2+E3^2)/4</f>
        <v>4.9689753404355156E-20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0.19531951054782748</v>
      </c>
      <c r="C4" s="13">
        <f t="shared" ref="C4:E4" si="1">C3/C2</f>
        <v>0.1914759001495456</v>
      </c>
      <c r="D4" s="13">
        <f t="shared" si="1"/>
        <v>0.1014793483110297</v>
      </c>
      <c r="E4" s="16">
        <f t="shared" si="1"/>
        <v>9.6035955480517174E-2</v>
      </c>
      <c r="F4" s="1">
        <f t="shared" si="0"/>
        <v>7.6784476953926373E-2</v>
      </c>
      <c r="H4" t="s">
        <v>24</v>
      </c>
      <c r="I4">
        <v>0.31593399999999999</v>
      </c>
      <c r="J4">
        <v>5.2424999999999999E-2</v>
      </c>
      <c r="K4">
        <v>6.0720000000000001E-3</v>
      </c>
      <c r="L4">
        <v>6.6709999999999998E-3</v>
      </c>
      <c r="M4">
        <v>5.3196E-2</v>
      </c>
      <c r="N4" s="1">
        <v>9.4362100000000008E-19</v>
      </c>
      <c r="O4" s="1">
        <v>1.67353E-19</v>
      </c>
      <c r="P4" s="1">
        <v>1.9384299999999999E-20</v>
      </c>
      <c r="Q4" s="1">
        <v>2.1296100000000001E-20</v>
      </c>
      <c r="R4" s="1">
        <v>1.69812E-19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0.111097</v>
      </c>
      <c r="J5">
        <v>5.4481000000000002E-2</v>
      </c>
      <c r="K5">
        <v>2.199E-3</v>
      </c>
      <c r="L5">
        <v>6.6709999999999998E-3</v>
      </c>
      <c r="M5">
        <v>5.4932000000000002E-2</v>
      </c>
      <c r="N5" s="1">
        <v>2.8973699999999998E-19</v>
      </c>
      <c r="O5" s="1">
        <v>1.7391499999999999E-19</v>
      </c>
      <c r="P5" s="1">
        <v>7.0205000000000001E-21</v>
      </c>
      <c r="Q5" s="1">
        <v>2.1296100000000001E-20</v>
      </c>
      <c r="R5" s="1">
        <v>1.7535500000000001E-19</v>
      </c>
    </row>
    <row r="6" spans="1:18" x14ac:dyDescent="0.2">
      <c r="A6" s="23" t="s">
        <v>15</v>
      </c>
      <c r="E6" s="22"/>
      <c r="F6" s="1"/>
      <c r="H6" t="s">
        <v>26</v>
      </c>
      <c r="I6">
        <v>0.217922</v>
      </c>
      <c r="J6">
        <v>3.7777999999999999E-2</v>
      </c>
      <c r="K6">
        <v>4.2110000000000003E-3</v>
      </c>
      <c r="L6">
        <v>6.6709999999999998E-3</v>
      </c>
      <c r="M6">
        <v>3.8593000000000002E-2</v>
      </c>
      <c r="N6" s="1">
        <v>6.3074600000000002E-19</v>
      </c>
      <c r="O6" s="1">
        <v>1.2059499999999999E-19</v>
      </c>
      <c r="P6" s="1">
        <v>1.34433E-20</v>
      </c>
      <c r="Q6" s="1">
        <v>2.1296100000000001E-20</v>
      </c>
      <c r="R6" s="1">
        <v>1.2319699999999999E-19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1.7609904285931791E-2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3.3763353235692337E-2</v>
      </c>
      <c r="C10" s="16">
        <f>C9/C2</f>
        <v>4.3245822788450475E-2</v>
      </c>
      <c r="D10" s="16">
        <f>D9/D2</f>
        <v>2.7128559930589342E-2</v>
      </c>
      <c r="E10" s="16">
        <f>E9/E2</f>
        <v>3.4865680677122673E-2</v>
      </c>
      <c r="F10" s="2">
        <f>SQRT(B12^2+C12^2+D12^2+E12^2)/4</f>
        <v>2.5411929162304854E-3</v>
      </c>
      <c r="H10" t="s">
        <v>24</v>
      </c>
      <c r="I10">
        <v>0.176235</v>
      </c>
      <c r="J10">
        <v>4.4761000000000002E-2</v>
      </c>
      <c r="K10">
        <v>3.6579999999999998E-3</v>
      </c>
      <c r="L10">
        <v>7.5370000000000003E-3</v>
      </c>
      <c r="M10">
        <v>4.5538000000000002E-2</v>
      </c>
      <c r="N10" s="1">
        <v>4.9552999999999997E-19</v>
      </c>
      <c r="O10" s="1">
        <v>1.42886E-19</v>
      </c>
      <c r="P10" s="1">
        <v>1.16757E-20</v>
      </c>
      <c r="Q10" s="1">
        <v>2.4059899999999999E-20</v>
      </c>
      <c r="R10" s="1">
        <v>1.4536800000000001E-19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0.21623800000000001</v>
      </c>
      <c r="J11">
        <v>4.6565000000000002E-2</v>
      </c>
      <c r="K11">
        <v>4.2630000000000003E-3</v>
      </c>
      <c r="L11">
        <v>7.5370000000000003E-3</v>
      </c>
      <c r="M11">
        <v>4.7363000000000002E-2</v>
      </c>
      <c r="N11" s="1">
        <v>6.2322899999999998E-19</v>
      </c>
      <c r="O11" s="1">
        <v>1.4864500000000001E-19</v>
      </c>
      <c r="P11" s="1">
        <v>1.3609199999999999E-20</v>
      </c>
      <c r="Q11" s="1">
        <v>2.4059899999999999E-20</v>
      </c>
      <c r="R11" s="1">
        <v>1.51194E-19</v>
      </c>
    </row>
    <row r="12" spans="1:18" x14ac:dyDescent="0.2">
      <c r="A12" s="15" t="s">
        <v>12</v>
      </c>
      <c r="B12" s="14">
        <f>K6</f>
        <v>4.2110000000000003E-3</v>
      </c>
      <c r="C12" s="12">
        <f>K12</f>
        <v>3.9290000000000002E-3</v>
      </c>
      <c r="D12" s="12">
        <f>K18</f>
        <v>6.411E-3</v>
      </c>
      <c r="E12" s="12">
        <f>K24</f>
        <v>5.3899999999999998E-3</v>
      </c>
      <c r="F12" s="1">
        <f>SQRT(B14^2+C14^2+D14^2+E14^2)/4</f>
        <v>1.1345139187697898E-2</v>
      </c>
      <c r="H12" t="s">
        <v>26</v>
      </c>
      <c r="I12">
        <v>0.19528799999999999</v>
      </c>
      <c r="J12">
        <v>3.2271000000000001E-2</v>
      </c>
      <c r="K12">
        <v>3.9290000000000002E-3</v>
      </c>
      <c r="L12">
        <v>7.5370000000000003E-3</v>
      </c>
      <c r="M12">
        <v>3.3370999999999998E-2</v>
      </c>
      <c r="N12" s="1">
        <v>5.5635200000000002E-19</v>
      </c>
      <c r="O12" s="1">
        <v>1.03015E-19</v>
      </c>
      <c r="P12" s="1">
        <v>1.25413E-20</v>
      </c>
      <c r="Q12" s="1">
        <v>2.4059899999999999E-20</v>
      </c>
      <c r="R12" s="1">
        <v>1.06528E-19</v>
      </c>
    </row>
    <row r="13" spans="1:18" x14ac:dyDescent="0.2">
      <c r="A13" s="15" t="s">
        <v>9</v>
      </c>
      <c r="B13" s="14">
        <f>P6</f>
        <v>1.34433E-20</v>
      </c>
      <c r="C13" s="14">
        <f>P12</f>
        <v>1.25413E-20</v>
      </c>
      <c r="D13" s="14">
        <f>P18</f>
        <v>2.0466199999999999E-20</v>
      </c>
      <c r="E13" s="14">
        <f>P24</f>
        <v>1.7204999999999999E-20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2.1313333734974141E-2</v>
      </c>
      <c r="C14" s="16">
        <f>C13/C2</f>
        <v>2.2542023754745198E-2</v>
      </c>
      <c r="D14" s="16">
        <f>D13/D2</f>
        <v>2.2942061380007667E-2</v>
      </c>
      <c r="E14" s="16">
        <f>E13/E2</f>
        <v>2.3888401386235394E-2</v>
      </c>
      <c r="F14" s="2">
        <f>SQRT(B16^2+C16^2+D16^2+E16^2)/4</f>
        <v>1.4901293477832721E-2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3.7777999999999999E-2</v>
      </c>
      <c r="C16" s="12">
        <f>J12</f>
        <v>3.2271000000000001E-2</v>
      </c>
      <c r="D16" s="12">
        <f>J18</f>
        <v>2.6564000000000001E-2</v>
      </c>
      <c r="E16" s="12">
        <f>J24</f>
        <v>1.9456000000000001E-2</v>
      </c>
      <c r="F16" s="1">
        <f>SQRT(B18^2+C18^2+D18^2+E18^2)/4</f>
        <v>7.3871684619119429E-2</v>
      </c>
      <c r="H16" t="s">
        <v>24</v>
      </c>
      <c r="I16">
        <v>0.300647</v>
      </c>
      <c r="J16">
        <v>3.6697E-2</v>
      </c>
      <c r="K16">
        <v>6.2849999999999998E-3</v>
      </c>
      <c r="L16">
        <v>7.5810000000000001E-3</v>
      </c>
      <c r="M16">
        <v>3.7995000000000001E-2</v>
      </c>
      <c r="N16" s="1">
        <v>8.7234200000000008E-19</v>
      </c>
      <c r="O16" s="1">
        <v>1.1714400000000001E-19</v>
      </c>
      <c r="P16" s="1">
        <v>2.0063000000000001E-20</v>
      </c>
      <c r="Q16" s="1">
        <v>2.4200900000000001E-20</v>
      </c>
      <c r="R16" s="1">
        <v>1.2128900000000001E-19</v>
      </c>
    </row>
    <row r="17" spans="1:18" x14ac:dyDescent="0.2">
      <c r="A17" s="15" t="s">
        <v>32</v>
      </c>
      <c r="B17" s="14">
        <f>O6</f>
        <v>1.2059499999999999E-19</v>
      </c>
      <c r="C17" s="14">
        <f>O12</f>
        <v>1.03015E-19</v>
      </c>
      <c r="D17" s="14">
        <f>O18</f>
        <v>8.47983E-20</v>
      </c>
      <c r="E17" s="14">
        <f>O24</f>
        <v>6.2109099999999995E-20</v>
      </c>
      <c r="F17" s="1">
        <f>SQRT(B19^2+C19^2+D19^2+E19^2)/4</f>
        <v>0</v>
      </c>
      <c r="H17" t="s">
        <v>25</v>
      </c>
      <c r="I17">
        <v>0.313801</v>
      </c>
      <c r="J17">
        <v>3.8501000000000001E-2</v>
      </c>
      <c r="K17">
        <v>6.5550000000000001E-3</v>
      </c>
      <c r="L17">
        <v>7.5810000000000001E-3</v>
      </c>
      <c r="M17">
        <v>3.9784E-2</v>
      </c>
      <c r="N17" s="1">
        <v>9.14332E-19</v>
      </c>
      <c r="O17" s="1">
        <v>1.2290400000000001E-19</v>
      </c>
      <c r="P17" s="1">
        <v>2.09253E-20</v>
      </c>
      <c r="Q17" s="1">
        <v>2.4200900000000001E-20</v>
      </c>
      <c r="R17" s="1">
        <v>1.27E-19</v>
      </c>
    </row>
    <row r="18" spans="1:18" x14ac:dyDescent="0.2">
      <c r="A18" s="10" t="s">
        <v>33</v>
      </c>
      <c r="B18" s="13">
        <f>B17/B2</f>
        <v>0.19119423666578939</v>
      </c>
      <c r="C18" s="13">
        <f>C17/C2</f>
        <v>0.18516155239848153</v>
      </c>
      <c r="D18" s="16">
        <f>D17/D2</f>
        <v>9.5056620355527852E-2</v>
      </c>
      <c r="E18" s="16">
        <f>E17/E2</f>
        <v>8.6235809970231475E-2</v>
      </c>
      <c r="F18" s="2">
        <f>SQRT(B20^2+C20^2+D20^2+E20^2)/4</f>
        <v>0</v>
      </c>
      <c r="H18" t="s">
        <v>26</v>
      </c>
      <c r="I18">
        <v>0.30682999999999999</v>
      </c>
      <c r="J18">
        <v>2.6564000000000001E-2</v>
      </c>
      <c r="K18">
        <v>6.411E-3</v>
      </c>
      <c r="L18">
        <v>7.5810000000000001E-3</v>
      </c>
      <c r="M18">
        <v>2.8358999999999999E-2</v>
      </c>
      <c r="N18" s="1">
        <v>8.9208199999999998E-19</v>
      </c>
      <c r="O18" s="1">
        <v>8.47983E-20</v>
      </c>
      <c r="P18" s="1">
        <v>2.0466199999999999E-20</v>
      </c>
      <c r="Q18" s="1">
        <v>2.4200900000000001E-20</v>
      </c>
      <c r="R18" s="1">
        <v>9.0527899999999996E-20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1.2319659173491772E-19</v>
      </c>
      <c r="C21" s="12">
        <f>SQRT(C17^2+C13^2+C9^2)</f>
        <v>1.0652818039701982E-19</v>
      </c>
      <c r="D21" s="12">
        <f>SQRT(D17^2+D13^2+D9^2)</f>
        <v>9.0527899490378108E-20</v>
      </c>
      <c r="E21" s="12">
        <f>SQRT(E17^2+E13^2+E9^2)</f>
        <v>6.9167330951974715E-20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0.19531886327446821</v>
      </c>
      <c r="C22" s="13">
        <f>C21/C2</f>
        <v>0.19147622439933679</v>
      </c>
      <c r="D22" s="13">
        <f>D21/D2</f>
        <v>0.10147934773975723</v>
      </c>
      <c r="E22" s="16">
        <f>E21/E2</f>
        <v>9.6035859610308347E-2</v>
      </c>
      <c r="H22" t="s">
        <v>24</v>
      </c>
      <c r="I22">
        <v>0.25947799999999999</v>
      </c>
      <c r="J22">
        <v>2.6748999999999998E-2</v>
      </c>
      <c r="K22">
        <v>5.3559999999999997E-3</v>
      </c>
      <c r="L22">
        <v>7.8659999999999997E-3</v>
      </c>
      <c r="M22">
        <v>2.8391E-2</v>
      </c>
      <c r="N22" s="1">
        <v>7.2800199999999998E-19</v>
      </c>
      <c r="O22" s="1">
        <v>8.5387599999999998E-20</v>
      </c>
      <c r="P22" s="1">
        <v>1.7096799999999999E-20</v>
      </c>
      <c r="Q22" s="1">
        <v>2.5111099999999999E-20</v>
      </c>
      <c r="R22" s="1">
        <v>9.0630600000000003E-20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0.25412000000000001</v>
      </c>
      <c r="J23">
        <v>2.8351000000000001E-2</v>
      </c>
      <c r="K23">
        <v>5.4299999999999999E-3</v>
      </c>
      <c r="L23">
        <v>7.8659999999999997E-3</v>
      </c>
      <c r="M23">
        <v>2.9919000000000001E-2</v>
      </c>
      <c r="N23" s="1">
        <v>7.1089600000000003E-19</v>
      </c>
      <c r="O23" s="1">
        <v>9.0502200000000002E-20</v>
      </c>
      <c r="P23" s="1">
        <v>1.7334199999999999E-20</v>
      </c>
      <c r="Q23" s="1">
        <v>2.5111099999999999E-20</v>
      </c>
      <c r="R23" s="1">
        <v>9.5507500000000002E-20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0.25704199999999999</v>
      </c>
      <c r="J24">
        <v>1.9456000000000001E-2</v>
      </c>
      <c r="K24">
        <v>5.3899999999999998E-3</v>
      </c>
      <c r="L24">
        <v>7.8659999999999997E-3</v>
      </c>
      <c r="M24">
        <v>2.1666999999999999E-2</v>
      </c>
      <c r="N24" s="1">
        <v>7.2022399999999996E-19</v>
      </c>
      <c r="O24" s="1">
        <v>6.2109099999999995E-20</v>
      </c>
      <c r="P24" s="1">
        <v>1.7204999999999999E-20</v>
      </c>
      <c r="Q24" s="1">
        <v>2.5111099999999999E-20</v>
      </c>
      <c r="R24" s="1">
        <v>6.9167399999999995E-20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4.0826508227096606E-25</v>
      </c>
      <c r="C26" s="1">
        <f>C3-C21</f>
        <v>-1.803970198223244E-25</v>
      </c>
      <c r="D26" s="1">
        <f>D3-D21</f>
        <v>5.0962188740238629E-28</v>
      </c>
      <c r="E26" s="1">
        <f>E3-E21</f>
        <v>6.9048025280119916E-26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644D-04DC-0A40-95E2-DB07317B8B26}">
  <dimension ref="A1:R30"/>
  <sheetViews>
    <sheetView topLeftCell="G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1.06367E-19</v>
      </c>
      <c r="C2" s="12">
        <f>N12</f>
        <v>1.02837E-19</v>
      </c>
      <c r="D2" s="12">
        <f>N18</f>
        <v>1.86684E-19</v>
      </c>
      <c r="E2" s="12">
        <f>N24</f>
        <v>1.3369E-19</v>
      </c>
      <c r="F2" s="1">
        <f>SQRT(B2^2+C2^2+D2^2+E2^2)/4</f>
        <v>6.8288596785078247E-20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3.9167999999999999E-20</v>
      </c>
      <c r="C3" s="14">
        <f>R12</f>
        <v>3.6993500000000002E-20</v>
      </c>
      <c r="D3" s="14">
        <f>R18</f>
        <v>3.3525699999999998E-20</v>
      </c>
      <c r="E3" s="14">
        <f>R24</f>
        <v>3.0328099999999998E-20</v>
      </c>
      <c r="F3" s="1">
        <f t="shared" ref="F3:F4" si="0">SQRT(B3^2+C3^2+D3^2+E3^2)/4</f>
        <v>1.7582692975533496E-20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0.36823450882322523</v>
      </c>
      <c r="C4" s="13">
        <f t="shared" ref="C4:E4" si="1">C3/C2</f>
        <v>0.35972947479992612</v>
      </c>
      <c r="D4" s="13">
        <f t="shared" si="1"/>
        <v>0.17958528850892416</v>
      </c>
      <c r="E4" s="16">
        <f t="shared" si="1"/>
        <v>0.22685391577530103</v>
      </c>
      <c r="F4" s="1">
        <f t="shared" si="0"/>
        <v>0.14763034991989568</v>
      </c>
      <c r="H4" t="s">
        <v>24</v>
      </c>
      <c r="I4">
        <v>7.3799000000000003E-2</v>
      </c>
      <c r="J4">
        <v>1.3794000000000001E-2</v>
      </c>
      <c r="K4">
        <v>0</v>
      </c>
      <c r="L4">
        <v>6.6709999999999998E-3</v>
      </c>
      <c r="M4">
        <v>1.5323E-2</v>
      </c>
      <c r="N4" s="1">
        <v>1.7067399999999999E-19</v>
      </c>
      <c r="O4" s="1">
        <v>4.4033500000000002E-20</v>
      </c>
      <c r="P4">
        <v>0</v>
      </c>
      <c r="Q4" s="1">
        <v>2.1296100000000001E-20</v>
      </c>
      <c r="R4" s="1">
        <v>4.8912899999999997E-20</v>
      </c>
    </row>
    <row r="5" spans="1:18" x14ac:dyDescent="0.2">
      <c r="A5" s="21"/>
      <c r="B5" s="6"/>
      <c r="C5" s="6"/>
      <c r="D5" s="6"/>
      <c r="E5" s="6"/>
      <c r="H5" t="s">
        <v>25</v>
      </c>
      <c r="I5">
        <v>3.0383E-2</v>
      </c>
      <c r="J5">
        <v>1.5129E-2</v>
      </c>
      <c r="K5">
        <v>0</v>
      </c>
      <c r="L5">
        <v>6.6709999999999998E-3</v>
      </c>
      <c r="M5">
        <v>1.6534E-2</v>
      </c>
      <c r="N5" s="1">
        <v>3.2079299999999997E-20</v>
      </c>
      <c r="O5" s="1">
        <v>4.8294000000000001E-20</v>
      </c>
      <c r="P5">
        <v>0</v>
      </c>
      <c r="Q5" s="1">
        <v>2.1296100000000001E-20</v>
      </c>
      <c r="R5" s="1">
        <v>5.2781000000000002E-20</v>
      </c>
    </row>
    <row r="6" spans="1:18" x14ac:dyDescent="0.2">
      <c r="A6" s="23" t="s">
        <v>15</v>
      </c>
      <c r="E6" s="22"/>
      <c r="F6" s="1"/>
      <c r="H6" t="s">
        <v>26</v>
      </c>
      <c r="I6">
        <v>5.3654E-2</v>
      </c>
      <c r="J6">
        <v>1.0298E-2</v>
      </c>
      <c r="K6">
        <v>0</v>
      </c>
      <c r="L6">
        <v>6.6709999999999998E-3</v>
      </c>
      <c r="M6">
        <v>1.227E-2</v>
      </c>
      <c r="N6" s="1">
        <v>1.06367E-19</v>
      </c>
      <c r="O6" s="1">
        <v>3.2872599999999999E-20</v>
      </c>
      <c r="P6">
        <v>0</v>
      </c>
      <c r="Q6" s="1">
        <v>2.1296100000000001E-20</v>
      </c>
      <c r="R6" s="1">
        <v>3.9167999999999999E-20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9.5821842903318091E-2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0.20021341205449059</v>
      </c>
      <c r="C10" s="16">
        <f>C9/C2</f>
        <v>0.23396151190719292</v>
      </c>
      <c r="D10" s="16">
        <f>D9/D2</f>
        <v>0.12963564097619507</v>
      </c>
      <c r="E10" s="16">
        <f>E9/E2</f>
        <v>0.18783080260303686</v>
      </c>
      <c r="F10" s="2">
        <f>SQRT(B12^2+C12^2+D12^2+E12^2)/4</f>
        <v>0</v>
      </c>
      <c r="H10" t="s">
        <v>24</v>
      </c>
      <c r="I10">
        <v>4.6982999999999997E-2</v>
      </c>
      <c r="J10">
        <v>1.1789000000000001E-2</v>
      </c>
      <c r="K10">
        <v>0</v>
      </c>
      <c r="L10">
        <v>7.5370000000000003E-3</v>
      </c>
      <c r="M10">
        <v>1.3991999999999999E-2</v>
      </c>
      <c r="N10" s="1">
        <v>8.2928900000000002E-20</v>
      </c>
      <c r="O10" s="1">
        <v>3.7632400000000003E-20</v>
      </c>
      <c r="P10">
        <v>0</v>
      </c>
      <c r="Q10" s="1">
        <v>2.4059899999999999E-20</v>
      </c>
      <c r="R10" s="1">
        <v>4.4666299999999997E-20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5.9465999999999998E-2</v>
      </c>
      <c r="J11">
        <v>1.2933999999999999E-2</v>
      </c>
      <c r="K11">
        <v>0</v>
      </c>
      <c r="L11">
        <v>7.5370000000000003E-3</v>
      </c>
      <c r="M11">
        <v>1.4970000000000001E-2</v>
      </c>
      <c r="N11" s="1">
        <v>1.2278E-19</v>
      </c>
      <c r="O11" s="1">
        <v>4.1289099999999999E-20</v>
      </c>
      <c r="P11">
        <v>0</v>
      </c>
      <c r="Q11" s="1">
        <v>2.4059899999999999E-20</v>
      </c>
      <c r="R11" s="1">
        <v>4.7787799999999998E-20</v>
      </c>
    </row>
    <row r="12" spans="1:18" x14ac:dyDescent="0.2">
      <c r="A12" s="15" t="s">
        <v>12</v>
      </c>
      <c r="B12" s="14">
        <f>K6</f>
        <v>0</v>
      </c>
      <c r="C12" s="12">
        <f>K12</f>
        <v>0</v>
      </c>
      <c r="D12" s="12">
        <f>K18</f>
        <v>0</v>
      </c>
      <c r="E12" s="12">
        <f>K24</f>
        <v>0</v>
      </c>
      <c r="F12" s="1">
        <f>SQRT(B14^2+C14^2+D14^2+E14^2)/4</f>
        <v>0</v>
      </c>
      <c r="H12" t="s">
        <v>26</v>
      </c>
      <c r="I12">
        <v>5.3219000000000002E-2</v>
      </c>
      <c r="J12">
        <v>8.8030000000000001E-3</v>
      </c>
      <c r="K12">
        <v>0</v>
      </c>
      <c r="L12">
        <v>7.5370000000000003E-3</v>
      </c>
      <c r="M12">
        <v>1.1589E-2</v>
      </c>
      <c r="N12" s="1">
        <v>1.02837E-19</v>
      </c>
      <c r="O12" s="1">
        <v>2.8100500000000003E-20</v>
      </c>
      <c r="P12">
        <v>0</v>
      </c>
      <c r="Q12" s="1">
        <v>2.4059899999999999E-20</v>
      </c>
      <c r="R12" s="1">
        <v>3.6993500000000002E-20</v>
      </c>
    </row>
    <row r="13" spans="1:18" x14ac:dyDescent="0.2">
      <c r="A13" s="15" t="s">
        <v>9</v>
      </c>
      <c r="B13" s="14">
        <f>P6</f>
        <v>0</v>
      </c>
      <c r="C13" s="14">
        <f>P12</f>
        <v>0</v>
      </c>
      <c r="D13" s="14">
        <f>P18</f>
        <v>0</v>
      </c>
      <c r="E13" s="14">
        <f>P24</f>
        <v>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0</v>
      </c>
      <c r="C14" s="16">
        <f>C13/C2</f>
        <v>0</v>
      </c>
      <c r="D14" s="16">
        <f>D13/D2</f>
        <v>0</v>
      </c>
      <c r="E14" s="16">
        <f>E13/E2</f>
        <v>0</v>
      </c>
      <c r="F14" s="2">
        <f>SQRT(B16^2+C16^2+D16^2+E16^2)/4</f>
        <v>4.0678082320212685E-3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1.0298E-2</v>
      </c>
      <c r="C16" s="12">
        <f>J12</f>
        <v>8.8030000000000001E-3</v>
      </c>
      <c r="D16" s="12">
        <f>J18</f>
        <v>7.2680000000000002E-3</v>
      </c>
      <c r="E16" s="12">
        <f>J24</f>
        <v>5.3280000000000003E-3</v>
      </c>
      <c r="F16" s="1">
        <f>SQRT(B18^2+C18^2+D18^2+E18^2)/4</f>
        <v>0.11230706209112475</v>
      </c>
      <c r="H16" t="s">
        <v>24</v>
      </c>
      <c r="I16">
        <v>8.3943000000000004E-2</v>
      </c>
      <c r="J16">
        <v>9.6919999999999992E-3</v>
      </c>
      <c r="K16">
        <v>0</v>
      </c>
      <c r="L16">
        <v>7.5810000000000001E-3</v>
      </c>
      <c r="M16">
        <v>1.2305E-2</v>
      </c>
      <c r="N16" s="1">
        <v>1.80575E-19</v>
      </c>
      <c r="O16" s="1">
        <v>3.0939999999999999E-20</v>
      </c>
      <c r="P16">
        <v>0</v>
      </c>
      <c r="Q16" s="1">
        <v>2.4200900000000001E-20</v>
      </c>
      <c r="R16" s="1">
        <v>3.9280600000000001E-20</v>
      </c>
    </row>
    <row r="17" spans="1:18" x14ac:dyDescent="0.2">
      <c r="A17" s="15" t="s">
        <v>32</v>
      </c>
      <c r="B17" s="14">
        <f>O6</f>
        <v>3.2872599999999999E-20</v>
      </c>
      <c r="C17" s="14">
        <f>O12</f>
        <v>2.8100500000000003E-20</v>
      </c>
      <c r="D17" s="14">
        <f>O18</f>
        <v>2.32011E-20</v>
      </c>
      <c r="E17" s="14">
        <f>O24</f>
        <v>1.7006600000000001E-20</v>
      </c>
      <c r="F17" s="1">
        <f>SQRT(B19^2+C19^2+D19^2+E19^2)/4</f>
        <v>0</v>
      </c>
      <c r="H17" t="s">
        <v>25</v>
      </c>
      <c r="I17">
        <v>8.5539000000000004E-2</v>
      </c>
      <c r="J17">
        <v>1.0728E-2</v>
      </c>
      <c r="K17">
        <v>0</v>
      </c>
      <c r="L17">
        <v>7.5810000000000001E-3</v>
      </c>
      <c r="M17">
        <v>1.3136E-2</v>
      </c>
      <c r="N17" s="1">
        <v>1.8567000000000001E-19</v>
      </c>
      <c r="O17" s="1">
        <v>3.4246199999999999E-20</v>
      </c>
      <c r="P17">
        <v>0</v>
      </c>
      <c r="Q17" s="1">
        <v>2.4200900000000001E-20</v>
      </c>
      <c r="R17" s="1">
        <v>4.1934300000000002E-20</v>
      </c>
    </row>
    <row r="18" spans="1:18" x14ac:dyDescent="0.2">
      <c r="A18" s="10" t="s">
        <v>33</v>
      </c>
      <c r="B18" s="13">
        <f>B17/B2</f>
        <v>0.30904885913864261</v>
      </c>
      <c r="C18" s="13">
        <f>C17/C2</f>
        <v>0.27325281756566222</v>
      </c>
      <c r="D18" s="16">
        <f>D17/D2</f>
        <v>0.12428006685093528</v>
      </c>
      <c r="E18" s="16">
        <f>E17/E2</f>
        <v>0.12720921534894158</v>
      </c>
      <c r="F18" s="2">
        <f>SQRT(B20^2+C20^2+D20^2+E20^2)/4</f>
        <v>0</v>
      </c>
      <c r="H18" t="s">
        <v>26</v>
      </c>
      <c r="I18">
        <v>8.5857000000000003E-2</v>
      </c>
      <c r="J18">
        <v>7.2680000000000002E-3</v>
      </c>
      <c r="K18">
        <v>0</v>
      </c>
      <c r="L18">
        <v>7.5810000000000001E-3</v>
      </c>
      <c r="M18">
        <v>1.0501999999999999E-2</v>
      </c>
      <c r="N18" s="1">
        <v>1.86684E-19</v>
      </c>
      <c r="O18" s="1">
        <v>2.32011E-20</v>
      </c>
      <c r="P18">
        <v>0</v>
      </c>
      <c r="Q18" s="1">
        <v>2.4200900000000001E-20</v>
      </c>
      <c r="R18" s="1">
        <v>3.3525699999999998E-20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3.9167993387075628E-20</v>
      </c>
      <c r="C21" s="12">
        <f>SQRT(C17^2+C13^2+C9^2)</f>
        <v>3.6993470886901112E-20</v>
      </c>
      <c r="D21" s="12">
        <f>SQRT(D17^2+D13^2+D9^2)</f>
        <v>3.3525730447225155E-20</v>
      </c>
      <c r="E21" s="12">
        <f>SQRT(E17^2+E13^2+E9^2)</f>
        <v>3.0328069288532035E-20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0.36823444665239813</v>
      </c>
      <c r="C22" s="13">
        <f>C21/C2</f>
        <v>0.35972919170046885</v>
      </c>
      <c r="D22" s="13">
        <f>D21/D2</f>
        <v>0.1795854516039144</v>
      </c>
      <c r="E22" s="16">
        <f>E21/E2</f>
        <v>0.22685368605379636</v>
      </c>
      <c r="H22" t="s">
        <v>24</v>
      </c>
      <c r="I22">
        <v>7.0863999999999996E-2</v>
      </c>
      <c r="J22">
        <v>7.0650000000000001E-3</v>
      </c>
      <c r="K22">
        <v>0</v>
      </c>
      <c r="L22">
        <v>7.8659999999999997E-3</v>
      </c>
      <c r="M22">
        <v>1.0573000000000001E-2</v>
      </c>
      <c r="N22" s="1">
        <v>1.25902E-19</v>
      </c>
      <c r="O22" s="1">
        <v>2.2551599999999999E-20</v>
      </c>
      <c r="P22">
        <v>0</v>
      </c>
      <c r="Q22" s="1">
        <v>2.5111099999999999E-20</v>
      </c>
      <c r="R22" s="1">
        <v>3.3751200000000003E-20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7.4792999999999998E-2</v>
      </c>
      <c r="J23">
        <v>7.9159999999999994E-3</v>
      </c>
      <c r="K23">
        <v>0</v>
      </c>
      <c r="L23">
        <v>7.8659999999999997E-3</v>
      </c>
      <c r="M23">
        <v>1.116E-2</v>
      </c>
      <c r="N23" s="1">
        <v>1.3844399999999999E-19</v>
      </c>
      <c r="O23" s="1">
        <v>2.5269099999999999E-20</v>
      </c>
      <c r="P23">
        <v>0</v>
      </c>
      <c r="Q23" s="1">
        <v>2.5111099999999999E-20</v>
      </c>
      <c r="R23" s="1">
        <v>3.5624299999999998E-20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7.3303999999999994E-2</v>
      </c>
      <c r="J24">
        <v>5.3280000000000003E-3</v>
      </c>
      <c r="K24">
        <v>0</v>
      </c>
      <c r="L24">
        <v>7.8659999999999997E-3</v>
      </c>
      <c r="M24">
        <v>9.5010000000000008E-3</v>
      </c>
      <c r="N24" s="1">
        <v>1.3369E-19</v>
      </c>
      <c r="O24" s="1">
        <v>1.7006600000000001E-20</v>
      </c>
      <c r="P24">
        <v>0</v>
      </c>
      <c r="Q24" s="1">
        <v>2.5111099999999999E-20</v>
      </c>
      <c r="R24" s="1">
        <v>3.0328099999999998E-20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6.6129243710439688E-27</v>
      </c>
      <c r="C26" s="1">
        <f>C3-C21</f>
        <v>2.9113098889516442E-26</v>
      </c>
      <c r="D26" s="1">
        <f>D3-D21</f>
        <v>-3.0447225156510106E-26</v>
      </c>
      <c r="E26" s="1">
        <f>E3-E21</f>
        <v>3.0711467962946478E-26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9356-A4A4-3041-AE57-635F1ED1227C}">
  <dimension ref="A1:R30"/>
  <sheetViews>
    <sheetView topLeftCell="F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Run-1 (BAM)</vt:lpstr>
      <vt:lpstr>trackReco</vt:lpstr>
      <vt:lpstr>Run-1 (main)</vt:lpstr>
      <vt:lpstr>Run-1 (noAccCorr) </vt:lpstr>
      <vt:lpstr>Run-1 (noDilCorr) </vt:lpstr>
      <vt:lpstr>Run-1 (noVertCorr)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2022-05-08T19:02:34Z</cp:lastPrinted>
  <dcterms:created xsi:type="dcterms:W3CDTF">2021-12-17T14:34:16Z</dcterms:created>
  <dcterms:modified xsi:type="dcterms:W3CDTF">2022-05-08T19:03:14Z</dcterms:modified>
</cp:coreProperties>
</file>