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69095AC6-2D92-9A41-BC8E-41BDB935F306}" xr6:coauthVersionLast="47" xr6:coauthVersionMax="47" xr10:uidLastSave="{00000000-0000-0000-0000-000000000000}"/>
  <bookViews>
    <workbookView xWindow="-2900" yWindow="-20060" windowWidth="23580" windowHeight="16940" activeTab="2" xr2:uid="{17D71C46-F216-1347-8A90-14C7EE0E0845}"/>
  </bookViews>
  <sheets>
    <sheet name="Sheet1" sheetId="1" r:id="rId1"/>
    <sheet name="SimultaneousFits" sheetId="2" r:id="rId2"/>
    <sheet name="No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B2" i="3"/>
  <c r="D6" i="2"/>
  <c r="D23" i="2"/>
  <c r="E23" i="2" s="1"/>
  <c r="D22" i="2"/>
  <c r="E22" i="2" s="1"/>
  <c r="D21" i="2"/>
  <c r="E21" i="2" s="1"/>
  <c r="D20" i="2"/>
  <c r="E20" i="2" s="1"/>
  <c r="E16" i="2"/>
  <c r="D16" i="2"/>
  <c r="D15" i="2"/>
  <c r="E15" i="2" s="1"/>
  <c r="E14" i="2"/>
  <c r="D14" i="2"/>
  <c r="D13" i="2"/>
  <c r="E13" i="2" s="1"/>
  <c r="E7" i="2"/>
  <c r="E8" i="2"/>
  <c r="D7" i="2"/>
  <c r="D8" i="2"/>
  <c r="D9" i="2"/>
  <c r="E9" i="2" s="1"/>
  <c r="E6" i="2"/>
  <c r="K33" i="1"/>
  <c r="L33" i="1"/>
  <c r="L32" i="1"/>
  <c r="L30" i="1"/>
  <c r="L31" i="1"/>
  <c r="L34" i="1"/>
  <c r="L29" i="1"/>
  <c r="K29" i="1"/>
  <c r="K53" i="1"/>
  <c r="K54" i="1"/>
  <c r="K55" i="1"/>
  <c r="K56" i="1"/>
  <c r="J56" i="1"/>
  <c r="J55" i="1"/>
  <c r="J54" i="1"/>
  <c r="J53" i="1"/>
  <c r="J49" i="1"/>
  <c r="K49" i="1"/>
  <c r="K46" i="1"/>
  <c r="K48" i="1"/>
  <c r="K47" i="1"/>
  <c r="J47" i="1"/>
  <c r="J48" i="1"/>
  <c r="J46" i="1"/>
  <c r="L42" i="1"/>
  <c r="K42" i="1"/>
  <c r="L43" i="1"/>
  <c r="M40" i="1"/>
  <c r="M39" i="1"/>
  <c r="M42" i="1"/>
  <c r="M41" i="1"/>
  <c r="L40" i="1"/>
  <c r="L41" i="1"/>
  <c r="L39" i="1"/>
  <c r="K40" i="1"/>
  <c r="K41" i="1"/>
  <c r="K39" i="1"/>
  <c r="M29" i="1"/>
  <c r="O34" i="1"/>
  <c r="N34" i="1"/>
  <c r="G34" i="1"/>
  <c r="M34" i="1"/>
  <c r="M33" i="1"/>
  <c r="M32" i="1"/>
  <c r="M31" i="1"/>
  <c r="M30" i="1"/>
  <c r="K32" i="1"/>
  <c r="K30" i="1"/>
  <c r="K31" i="1"/>
  <c r="K34" i="1"/>
  <c r="D23" i="1"/>
  <c r="E23" i="1" s="1"/>
  <c r="D22" i="1"/>
  <c r="E22" i="1" s="1"/>
  <c r="D21" i="1"/>
  <c r="E21" i="1" s="1"/>
  <c r="D20" i="1"/>
  <c r="E20" i="1" s="1"/>
  <c r="D16" i="1"/>
  <c r="E16" i="1" s="1"/>
  <c r="D15" i="1"/>
  <c r="E15" i="1" s="1"/>
  <c r="D14" i="1"/>
  <c r="E14" i="1" s="1"/>
  <c r="D13" i="1"/>
  <c r="E13" i="1" s="1"/>
  <c r="D9" i="1"/>
  <c r="E9" i="1" s="1"/>
  <c r="D7" i="1"/>
  <c r="E7" i="1" s="1"/>
  <c r="D8" i="1"/>
  <c r="E8" i="1" s="1"/>
  <c r="D6" i="1"/>
  <c r="E6" i="1" s="1"/>
  <c r="B4" i="3" l="1"/>
  <c r="I34" i="1"/>
</calcChain>
</file>

<file path=xl/sharedStrings.xml><?xml version="1.0" encoding="utf-8"?>
<sst xmlns="http://schemas.openxmlformats.org/spreadsheetml/2006/main" count="220" uniqueCount="37">
  <si>
    <t>d_EDM</t>
  </si>
  <si>
    <t>Dataset</t>
  </si>
  <si>
    <t>Run-1a</t>
  </si>
  <si>
    <t>Run-1b</t>
  </si>
  <si>
    <t>Run-1c</t>
  </si>
  <si>
    <t>Run-1d</t>
  </si>
  <si>
    <t>A_EDM</t>
  </si>
  <si>
    <t>delta</t>
  </si>
  <si>
    <t>Value</t>
  </si>
  <si>
    <t>Error</t>
  </si>
  <si>
    <t>S12S18</t>
  </si>
  <si>
    <t>S12</t>
  </si>
  <si>
    <t>S18</t>
  </si>
  <si>
    <t>dMu</t>
  </si>
  <si>
    <t>Simul fits</t>
  </si>
  <si>
    <t xml:space="preserve">Mom binned </t>
  </si>
  <si>
    <t>NO RAND</t>
  </si>
  <si>
    <t>Diff</t>
  </si>
  <si>
    <t>Run-1d (50 us)</t>
  </si>
  <si>
    <t>chi2</t>
  </si>
  <si>
    <t>NO VERT CORR</t>
  </si>
  <si>
    <t>PLUS PHI ERR</t>
  </si>
  <si>
    <t>MINUS PHI ERR</t>
  </si>
  <si>
    <t>A_EDM [mrad]</t>
  </si>
  <si>
    <t>delta lab [rmad]</t>
  </si>
  <si>
    <t>d_EDM (S12S18)</t>
  </si>
  <si>
    <t>chi2ndf</t>
  </si>
  <si>
    <t xml:space="preserve"> A_EDM^{BLIND} [mrad]</t>
  </si>
  <si>
    <t xml:space="preserve"> A_{g-2} [mrad]</t>
  </si>
  <si>
    <t xml:space="preserve"> c [mrad]</t>
  </si>
  <si>
    <t>Station</t>
  </si>
  <si>
    <t xml:space="preserve"> value</t>
  </si>
  <si>
    <t xml:space="preserve"> error</t>
  </si>
  <si>
    <t>delta_rest</t>
  </si>
  <si>
    <t>gamma</t>
  </si>
  <si>
    <t>a_mu</t>
  </si>
  <si>
    <t>delta_lab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</si>
</sst>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0"/>
    <numFmt numFmtId="166" formatCode="0.00000000"/>
    <numFmt numFmtId="167" formatCode="0.00000"/>
    <numFmt numFmtId="168" formatCode="0.0E+00"/>
    <numFmt numFmtId="169" formatCode="0.0000000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539C-4E7C-F84C-8DA8-B8B58200F3D2}">
  <dimension ref="A1:O56"/>
  <sheetViews>
    <sheetView workbookViewId="0">
      <selection activeCell="B23" sqref="B4:C23"/>
    </sheetView>
  </sheetViews>
  <sheetFormatPr baseColWidth="10" defaultRowHeight="16" x14ac:dyDescent="0.2"/>
  <cols>
    <col min="1" max="1" width="13.1640625" bestFit="1" customWidth="1"/>
    <col min="4" max="4" width="11.6640625" bestFit="1" customWidth="1"/>
    <col min="5" max="5" width="13.6640625" bestFit="1" customWidth="1"/>
    <col min="6" max="6" width="13.1640625" bestFit="1" customWidth="1"/>
    <col min="9" max="9" width="11.6640625" bestFit="1" customWidth="1"/>
    <col min="10" max="10" width="11.33203125" bestFit="1" customWidth="1"/>
    <col min="11" max="11" width="15.33203125" bestFit="1" customWidth="1"/>
    <col min="12" max="12" width="11.33203125" bestFit="1" customWidth="1"/>
    <col min="13" max="13" width="14" bestFit="1" customWidth="1"/>
  </cols>
  <sheetData>
    <row r="1" spans="1:15" x14ac:dyDescent="0.2">
      <c r="A1" t="s">
        <v>0</v>
      </c>
    </row>
    <row r="2" spans="1:15" x14ac:dyDescent="0.2">
      <c r="A2">
        <v>7.4999999999999997E-2</v>
      </c>
      <c r="B2">
        <v>4.0000000000000001E-3</v>
      </c>
      <c r="I2" t="s">
        <v>16</v>
      </c>
    </row>
    <row r="3" spans="1:15" x14ac:dyDescent="0.2">
      <c r="A3" t="s">
        <v>14</v>
      </c>
      <c r="F3" s="11"/>
      <c r="G3" s="11"/>
    </row>
    <row r="4" spans="1:15" x14ac:dyDescent="0.2">
      <c r="A4" t="s">
        <v>10</v>
      </c>
      <c r="B4" s="11" t="s">
        <v>6</v>
      </c>
      <c r="C4" s="11"/>
      <c r="D4" s="11" t="s">
        <v>7</v>
      </c>
      <c r="E4" s="11"/>
      <c r="F4" t="s">
        <v>13</v>
      </c>
      <c r="J4" s="11"/>
      <c r="K4" s="11"/>
      <c r="L4" s="11"/>
      <c r="M4" s="11"/>
    </row>
    <row r="5" spans="1:15" x14ac:dyDescent="0.2">
      <c r="A5" t="s">
        <v>1</v>
      </c>
      <c r="B5" t="s">
        <v>8</v>
      </c>
      <c r="C5" t="s">
        <v>9</v>
      </c>
      <c r="D5" t="s">
        <v>8</v>
      </c>
      <c r="E5" t="s">
        <v>9</v>
      </c>
    </row>
    <row r="6" spans="1:15" x14ac:dyDescent="0.2">
      <c r="A6" t="s">
        <v>2</v>
      </c>
      <c r="B6">
        <v>3.1E-2</v>
      </c>
      <c r="C6">
        <v>6.0000000000000001E-3</v>
      </c>
      <c r="D6" s="7">
        <f>B6/$A$2</f>
        <v>0.41333333333333333</v>
      </c>
      <c r="E6" s="7">
        <f>D6*SQRT((C6/B6)^2+($B$2/$A$2)^2)</f>
        <v>8.2981669848612938E-2</v>
      </c>
      <c r="F6" s="2">
        <v>1.30881E-18</v>
      </c>
      <c r="G6" s="2">
        <v>2.5537800000000001E-19</v>
      </c>
      <c r="N6" s="2"/>
      <c r="O6" s="2"/>
    </row>
    <row r="7" spans="1:15" x14ac:dyDescent="0.2">
      <c r="A7" t="s">
        <v>3</v>
      </c>
      <c r="B7">
        <v>2.8000000000000001E-2</v>
      </c>
      <c r="C7">
        <v>5.0000000000000001E-3</v>
      </c>
      <c r="D7" s="7">
        <f t="shared" ref="D7:D8" si="0">B7/$A$2</f>
        <v>0.37333333333333335</v>
      </c>
      <c r="E7" s="7">
        <f t="shared" ref="E7:E9" si="1">D7*SQRT((C7/B7)^2+($B$2/$A$2)^2)</f>
        <v>6.9576553451025855E-2</v>
      </c>
      <c r="F7" s="2">
        <v>1.1811200000000001E-18</v>
      </c>
      <c r="G7" s="2">
        <v>2.2345600000000001E-19</v>
      </c>
      <c r="N7" s="2"/>
      <c r="O7" s="2"/>
    </row>
    <row r="8" spans="1:15" x14ac:dyDescent="0.2">
      <c r="A8" t="s">
        <v>4</v>
      </c>
      <c r="B8">
        <v>4.5999999999999999E-2</v>
      </c>
      <c r="C8">
        <v>4.0000000000000001E-3</v>
      </c>
      <c r="D8" s="7">
        <f t="shared" si="0"/>
        <v>0.6133333333333334</v>
      </c>
      <c r="E8" s="7">
        <f t="shared" si="1"/>
        <v>6.2565655391499747E-2</v>
      </c>
      <c r="F8" s="2">
        <v>1.9472599999999999E-18</v>
      </c>
      <c r="G8" s="2">
        <v>1.91533E-19</v>
      </c>
      <c r="N8" s="2"/>
      <c r="O8" s="2"/>
    </row>
    <row r="9" spans="1:15" x14ac:dyDescent="0.2">
      <c r="A9" t="s">
        <v>5</v>
      </c>
      <c r="B9">
        <v>3.3000000000000002E-2</v>
      </c>
      <c r="C9">
        <v>4.0000000000000001E-3</v>
      </c>
      <c r="D9" s="7">
        <f>B9/$A$2</f>
        <v>0.44000000000000006</v>
      </c>
      <c r="E9" s="7">
        <f t="shared" si="1"/>
        <v>5.8267734543990042E-2</v>
      </c>
      <c r="F9" s="2">
        <v>1.40458E-18</v>
      </c>
      <c r="G9" s="2">
        <v>1.91533E-19</v>
      </c>
      <c r="N9" s="2"/>
      <c r="O9" s="2"/>
    </row>
    <row r="11" spans="1:15" x14ac:dyDescent="0.2">
      <c r="A11" t="s">
        <v>11</v>
      </c>
      <c r="B11" s="11" t="s">
        <v>6</v>
      </c>
      <c r="C11" s="11"/>
      <c r="D11" s="11" t="s">
        <v>7</v>
      </c>
      <c r="E11" s="11"/>
    </row>
    <row r="12" spans="1:15" x14ac:dyDescent="0.2">
      <c r="A12" t="s">
        <v>1</v>
      </c>
      <c r="B12" t="s">
        <v>8</v>
      </c>
      <c r="C12" t="s">
        <v>9</v>
      </c>
      <c r="D12" t="s">
        <v>8</v>
      </c>
      <c r="E12" t="s">
        <v>9</v>
      </c>
    </row>
    <row r="13" spans="1:15" x14ac:dyDescent="0.2">
      <c r="A13" t="s">
        <v>2</v>
      </c>
      <c r="B13">
        <v>4.3999999999999997E-2</v>
      </c>
      <c r="C13">
        <v>8.9999999999999993E-3</v>
      </c>
      <c r="D13" s="7">
        <f>B13/$A$2</f>
        <v>0.58666666666666667</v>
      </c>
      <c r="E13" s="7">
        <f>D13*SQRT((C13/B13)^2+($B$2/$A$2)^2)</f>
        <v>0.12401207428271342</v>
      </c>
      <c r="F13" s="2">
        <v>1.9153300000000001E-18</v>
      </c>
      <c r="G13" s="2">
        <v>3.19222E-19</v>
      </c>
    </row>
    <row r="14" spans="1:15" x14ac:dyDescent="0.2">
      <c r="A14" t="s">
        <v>3</v>
      </c>
      <c r="B14">
        <v>2.5999999999999999E-2</v>
      </c>
      <c r="C14">
        <v>8.0000000000000002E-3</v>
      </c>
      <c r="D14" s="7">
        <f t="shared" ref="D14:D15" si="2">B14/$A$2</f>
        <v>0.34666666666666668</v>
      </c>
      <c r="E14" s="7">
        <f t="shared" ref="E14:E16" si="3">D14*SQRT((C14/B14)^2+($B$2/$A$2)^2)</f>
        <v>0.10825717893111504</v>
      </c>
      <c r="F14" s="2">
        <v>9.5766700000000004E-19</v>
      </c>
      <c r="G14" s="2">
        <v>3.19222E-19</v>
      </c>
    </row>
    <row r="15" spans="1:15" x14ac:dyDescent="0.2">
      <c r="A15" t="s">
        <v>4</v>
      </c>
      <c r="B15">
        <v>4.8000000000000001E-2</v>
      </c>
      <c r="C15">
        <v>6.0000000000000001E-3</v>
      </c>
      <c r="D15" s="7">
        <f t="shared" si="2"/>
        <v>0.64</v>
      </c>
      <c r="E15" s="7">
        <f t="shared" si="3"/>
        <v>8.6977493896090427E-2</v>
      </c>
      <c r="F15" s="2">
        <v>2.0430200000000001E-18</v>
      </c>
      <c r="G15" s="2">
        <v>2.873E-19</v>
      </c>
    </row>
    <row r="16" spans="1:15" x14ac:dyDescent="0.2">
      <c r="A16" t="s">
        <v>5</v>
      </c>
      <c r="B16">
        <v>3.5000000000000003E-2</v>
      </c>
      <c r="C16">
        <v>5.0000000000000001E-3</v>
      </c>
      <c r="D16" s="7">
        <f>B16/$A$2</f>
        <v>0.46666666666666673</v>
      </c>
      <c r="E16" s="7">
        <f t="shared" si="3"/>
        <v>7.1161093545334897E-2</v>
      </c>
      <c r="F16" s="2">
        <v>1.5003399999999999E-18</v>
      </c>
      <c r="G16" s="2">
        <v>2.2345600000000001E-19</v>
      </c>
    </row>
    <row r="18" spans="1:15" x14ac:dyDescent="0.2">
      <c r="A18" t="s">
        <v>12</v>
      </c>
      <c r="B18" s="11" t="s">
        <v>6</v>
      </c>
      <c r="C18" s="11"/>
      <c r="D18" s="11" t="s">
        <v>7</v>
      </c>
      <c r="E18" s="11"/>
    </row>
    <row r="19" spans="1:15" x14ac:dyDescent="0.2">
      <c r="A19" t="s">
        <v>1</v>
      </c>
      <c r="B19" t="s">
        <v>8</v>
      </c>
      <c r="C19" t="s">
        <v>9</v>
      </c>
      <c r="D19" t="s">
        <v>8</v>
      </c>
      <c r="E19" t="s">
        <v>9</v>
      </c>
    </row>
    <row r="20" spans="1:15" x14ac:dyDescent="0.2">
      <c r="A20" t="s">
        <v>2</v>
      </c>
      <c r="B20">
        <v>1.7000000000000001E-2</v>
      </c>
      <c r="C20">
        <v>8.9999999999999993E-3</v>
      </c>
      <c r="D20" s="7">
        <f>B20/$A$2</f>
        <v>0.22666666666666668</v>
      </c>
      <c r="E20" s="7">
        <f>D20*SQRT((C20/B20)^2+($B$2/$A$2)^2)</f>
        <v>0.12060738466017699</v>
      </c>
      <c r="F20" s="2">
        <v>6.38445E-19</v>
      </c>
      <c r="G20" s="2">
        <v>3.19222E-19</v>
      </c>
    </row>
    <row r="21" spans="1:15" x14ac:dyDescent="0.2">
      <c r="A21" t="s">
        <v>3</v>
      </c>
      <c r="B21">
        <v>3.1E-2</v>
      </c>
      <c r="C21">
        <v>8.0000000000000002E-3</v>
      </c>
      <c r="D21" s="7">
        <f t="shared" ref="D21:D22" si="4">B21/$A$2</f>
        <v>0.41333333333333333</v>
      </c>
      <c r="E21" s="7">
        <f t="shared" ref="E21:E23" si="5">D21*SQRT((C21/B21)^2+($B$2/$A$2)^2)</f>
        <v>0.1089207753766102</v>
      </c>
      <c r="F21" s="2">
        <v>1.27689E-18</v>
      </c>
      <c r="G21" s="2">
        <v>3.19222E-19</v>
      </c>
    </row>
    <row r="22" spans="1:15" x14ac:dyDescent="0.2">
      <c r="A22" t="s">
        <v>4</v>
      </c>
      <c r="B22">
        <v>4.3999999999999997E-2</v>
      </c>
      <c r="C22">
        <v>7.0000000000000001E-3</v>
      </c>
      <c r="D22" s="7">
        <f t="shared" si="4"/>
        <v>0.58666666666666667</v>
      </c>
      <c r="E22" s="7">
        <f t="shared" si="5"/>
        <v>9.8438334397796215E-2</v>
      </c>
      <c r="F22" s="2">
        <v>1.9153300000000001E-18</v>
      </c>
      <c r="G22" s="2">
        <v>3.19222E-19</v>
      </c>
    </row>
    <row r="23" spans="1:15" x14ac:dyDescent="0.2">
      <c r="A23" t="s">
        <v>5</v>
      </c>
      <c r="B23">
        <v>3.1E-2</v>
      </c>
      <c r="C23">
        <v>6.0000000000000001E-3</v>
      </c>
      <c r="D23" s="7">
        <f>B23/$A$2</f>
        <v>0.41333333333333333</v>
      </c>
      <c r="E23" s="7">
        <f t="shared" si="5"/>
        <v>8.2981669848612938E-2</v>
      </c>
      <c r="F23" s="2">
        <v>1.30881E-18</v>
      </c>
      <c r="G23" s="2">
        <v>2.5537800000000001E-19</v>
      </c>
      <c r="J23">
        <v>0.41225200000000001</v>
      </c>
    </row>
    <row r="25" spans="1:15" x14ac:dyDescent="0.2">
      <c r="A25" t="s">
        <v>15</v>
      </c>
      <c r="E25" t="s">
        <v>16</v>
      </c>
    </row>
    <row r="27" spans="1:15" x14ac:dyDescent="0.2">
      <c r="A27" t="s">
        <v>10</v>
      </c>
      <c r="C27" s="11" t="s">
        <v>7</v>
      </c>
      <c r="D27" s="11"/>
      <c r="F27" t="s">
        <v>10</v>
      </c>
      <c r="G27" t="s">
        <v>19</v>
      </c>
      <c r="H27" s="11" t="s">
        <v>7</v>
      </c>
      <c r="I27" s="11"/>
    </row>
    <row r="28" spans="1:15" x14ac:dyDescent="0.2">
      <c r="A28" t="s">
        <v>1</v>
      </c>
      <c r="B28" t="s">
        <v>19</v>
      </c>
      <c r="C28" t="s">
        <v>8</v>
      </c>
      <c r="D28" t="s">
        <v>9</v>
      </c>
      <c r="F28" t="s">
        <v>1</v>
      </c>
      <c r="H28" t="s">
        <v>8</v>
      </c>
      <c r="I28" t="s">
        <v>9</v>
      </c>
      <c r="K28" t="s">
        <v>17</v>
      </c>
    </row>
    <row r="29" spans="1:15" x14ac:dyDescent="0.2">
      <c r="A29" t="s">
        <v>2</v>
      </c>
      <c r="B29">
        <v>0.95</v>
      </c>
      <c r="C29">
        <v>0.28343699999999999</v>
      </c>
      <c r="D29">
        <v>7.7412999999999996E-2</v>
      </c>
      <c r="F29" t="s">
        <v>2</v>
      </c>
      <c r="G29">
        <v>1.2</v>
      </c>
      <c r="H29">
        <v>0.35698800000000003</v>
      </c>
      <c r="I29">
        <v>8.1298999999999996E-2</v>
      </c>
      <c r="K29">
        <f>B29-G29</f>
        <v>-0.25</v>
      </c>
      <c r="L29">
        <f>C29-H29</f>
        <v>-7.3551000000000033E-2</v>
      </c>
      <c r="M29">
        <f>D29-I29</f>
        <v>-3.8860000000000006E-3</v>
      </c>
      <c r="N29">
        <v>-3.8899999999999998E-3</v>
      </c>
      <c r="O29">
        <v>-7.3599999999999999E-2</v>
      </c>
    </row>
    <row r="30" spans="1:15" x14ac:dyDescent="0.2">
      <c r="A30" t="s">
        <v>3</v>
      </c>
      <c r="B30">
        <v>0.88</v>
      </c>
      <c r="C30">
        <v>0.26094600000000001</v>
      </c>
      <c r="D30">
        <v>6.6155000000000005E-2</v>
      </c>
      <c r="F30" t="s">
        <v>3</v>
      </c>
      <c r="G30">
        <v>1.2</v>
      </c>
      <c r="H30">
        <v>0.37915900000000002</v>
      </c>
      <c r="I30">
        <v>5.3578000000000001E-2</v>
      </c>
      <c r="K30">
        <f t="shared" ref="K30:K31" si="6">B30-G30</f>
        <v>-0.31999999999999995</v>
      </c>
      <c r="L30">
        <f t="shared" ref="L30:M33" si="7">C30-H30</f>
        <v>-0.11821300000000001</v>
      </c>
      <c r="M30">
        <f t="shared" si="7"/>
        <v>1.2577000000000005E-2</v>
      </c>
      <c r="N30">
        <v>1.26E-2</v>
      </c>
      <c r="O30">
        <v>-0.11799999999999999</v>
      </c>
    </row>
    <row r="31" spans="1:15" x14ac:dyDescent="0.2">
      <c r="A31" t="s">
        <v>4</v>
      </c>
      <c r="B31">
        <v>1.1000000000000001</v>
      </c>
      <c r="C31">
        <v>0.50278</v>
      </c>
      <c r="D31">
        <v>5.4510999999999997E-2</v>
      </c>
      <c r="F31" t="s">
        <v>4</v>
      </c>
      <c r="G31">
        <v>1.5</v>
      </c>
      <c r="H31">
        <v>0.48621500000000001</v>
      </c>
      <c r="I31">
        <v>4.3836E-2</v>
      </c>
      <c r="K31">
        <f t="shared" si="6"/>
        <v>-0.39999999999999991</v>
      </c>
      <c r="L31">
        <f>C31-H31</f>
        <v>1.6564999999999996E-2</v>
      </c>
      <c r="M31">
        <f t="shared" si="7"/>
        <v>1.0674999999999997E-2</v>
      </c>
      <c r="N31">
        <v>1.0699999999999999E-2</v>
      </c>
      <c r="O31">
        <v>1.66E-2</v>
      </c>
    </row>
    <row r="32" spans="1:15" x14ac:dyDescent="0.2">
      <c r="A32" t="s">
        <v>5</v>
      </c>
      <c r="B32">
        <v>0.9</v>
      </c>
      <c r="C32">
        <v>0.41225200000000001</v>
      </c>
      <c r="D32">
        <v>4.0009000000000003E-2</v>
      </c>
      <c r="F32" t="s">
        <v>5</v>
      </c>
      <c r="G32">
        <v>1.2</v>
      </c>
      <c r="H32">
        <v>0.40726899999999999</v>
      </c>
      <c r="I32">
        <v>3.2063000000000001E-2</v>
      </c>
      <c r="K32">
        <f>B32-G32</f>
        <v>-0.29999999999999993</v>
      </c>
      <c r="L32">
        <f>C32-H32</f>
        <v>4.9830000000000152E-3</v>
      </c>
      <c r="M32">
        <f t="shared" si="7"/>
        <v>7.9460000000000017E-3</v>
      </c>
      <c r="N32">
        <v>7.9500000000000005E-3</v>
      </c>
      <c r="O32">
        <v>4.9800000000000001E-3</v>
      </c>
    </row>
    <row r="33" spans="1:15" x14ac:dyDescent="0.2">
      <c r="A33" t="s">
        <v>18</v>
      </c>
      <c r="B33">
        <v>0.9</v>
      </c>
      <c r="C33">
        <v>0.35107300000000002</v>
      </c>
      <c r="D33">
        <v>4.7853E-2</v>
      </c>
      <c r="F33" t="s">
        <v>18</v>
      </c>
      <c r="G33">
        <v>0.9</v>
      </c>
      <c r="H33">
        <v>0.35103000000000001</v>
      </c>
      <c r="I33">
        <v>4.7854000000000001E-2</v>
      </c>
      <c r="K33" s="2">
        <f>B33-G33</f>
        <v>0</v>
      </c>
      <c r="L33" s="4">
        <f>C33-H33</f>
        <v>4.3000000000015248E-5</v>
      </c>
      <c r="M33" s="2">
        <f t="shared" si="7"/>
        <v>-1.0000000000010001E-6</v>
      </c>
      <c r="N33" s="4">
        <v>-1.0000000000010001E-6</v>
      </c>
      <c r="O33">
        <v>4.3000000000000002E-5</v>
      </c>
    </row>
    <row r="34" spans="1:15" x14ac:dyDescent="0.2">
      <c r="G34" s="4">
        <f>AVERAGE(G29:G31,G33)</f>
        <v>1.2</v>
      </c>
      <c r="I34">
        <f>AVERAGE(L29:L32)</f>
        <v>-4.2554000000000008E-2</v>
      </c>
      <c r="J34" s="3">
        <v>-4.2554000000000008E-2</v>
      </c>
      <c r="K34" s="4">
        <f>AVERAGE(K29:K31,K33)</f>
        <v>-0.24249999999999997</v>
      </c>
      <c r="L34" s="2">
        <f>AVERAGE(L29:L31,L33)</f>
        <v>-4.3789000000000008E-2</v>
      </c>
      <c r="M34" s="2">
        <f>AVERAGE(M29:M31,M33)</f>
        <v>4.8412500000000001E-3</v>
      </c>
      <c r="N34" s="4">
        <f>AVERAGE(N29:N31,N33)</f>
        <v>4.8522499999999998E-3</v>
      </c>
      <c r="O34" s="4">
        <f>AVERAGE(O29:O31,O33)</f>
        <v>-4.373925E-2</v>
      </c>
    </row>
    <row r="35" spans="1:15" x14ac:dyDescent="0.2">
      <c r="A35" t="s">
        <v>11</v>
      </c>
      <c r="B35" s="11" t="s">
        <v>7</v>
      </c>
      <c r="C35" s="11"/>
    </row>
    <row r="36" spans="1:15" x14ac:dyDescent="0.2">
      <c r="A36" t="s">
        <v>1</v>
      </c>
      <c r="B36" t="s">
        <v>8</v>
      </c>
      <c r="C36" t="s">
        <v>9</v>
      </c>
      <c r="E36" t="s">
        <v>20</v>
      </c>
    </row>
    <row r="37" spans="1:15" x14ac:dyDescent="0.2">
      <c r="A37" t="s">
        <v>2</v>
      </c>
      <c r="B37">
        <v>0.42</v>
      </c>
      <c r="C37">
        <v>0.1</v>
      </c>
      <c r="F37" t="s">
        <v>10</v>
      </c>
      <c r="G37" t="s">
        <v>19</v>
      </c>
      <c r="H37" s="11" t="s">
        <v>7</v>
      </c>
      <c r="I37" s="11"/>
      <c r="K37" t="s">
        <v>17</v>
      </c>
    </row>
    <row r="38" spans="1:15" x14ac:dyDescent="0.2">
      <c r="A38" t="s">
        <v>3</v>
      </c>
      <c r="B38">
        <v>0.25</v>
      </c>
      <c r="C38">
        <v>0.09</v>
      </c>
      <c r="F38" t="s">
        <v>1</v>
      </c>
      <c r="H38" t="s">
        <v>8</v>
      </c>
      <c r="I38" t="s">
        <v>9</v>
      </c>
    </row>
    <row r="39" spans="1:15" x14ac:dyDescent="0.2">
      <c r="A39" t="s">
        <v>4</v>
      </c>
      <c r="B39">
        <v>0.51</v>
      </c>
      <c r="C39">
        <v>7.0000000000000007E-2</v>
      </c>
      <c r="F39" t="s">
        <v>2</v>
      </c>
      <c r="G39">
        <v>0.95</v>
      </c>
      <c r="H39">
        <v>0.29339500000000002</v>
      </c>
      <c r="I39" s="5">
        <v>7.7413999999999997E-2</v>
      </c>
      <c r="K39" s="6">
        <f>B29-G39</f>
        <v>0</v>
      </c>
      <c r="L39" s="7">
        <f>C29-H39</f>
        <v>-9.9580000000000224E-3</v>
      </c>
      <c r="M39" s="2">
        <f>D29-I39</f>
        <v>-1.0000000000010001E-6</v>
      </c>
    </row>
    <row r="40" spans="1:15" x14ac:dyDescent="0.2">
      <c r="A40" t="s">
        <v>5</v>
      </c>
      <c r="B40">
        <v>0.36</v>
      </c>
      <c r="C40">
        <v>0.06</v>
      </c>
      <c r="F40" t="s">
        <v>3</v>
      </c>
      <c r="G40">
        <v>0.88</v>
      </c>
      <c r="H40">
        <v>0.269563</v>
      </c>
      <c r="I40" s="5">
        <v>6.6155000000000005E-2</v>
      </c>
      <c r="K40" s="6">
        <f>B30-G40</f>
        <v>0</v>
      </c>
      <c r="L40" s="7">
        <f t="shared" ref="L40:M41" si="8">C30-H40</f>
        <v>-8.6169999999999858E-3</v>
      </c>
      <c r="M40" s="8">
        <f>D30-I40</f>
        <v>0</v>
      </c>
    </row>
    <row r="41" spans="1:15" x14ac:dyDescent="0.2">
      <c r="F41" t="s">
        <v>4</v>
      </c>
      <c r="G41">
        <v>1.0900000000000001</v>
      </c>
      <c r="H41">
        <v>0.50953599999999999</v>
      </c>
      <c r="I41" s="5">
        <v>5.4511999999999998E-2</v>
      </c>
      <c r="K41" s="6">
        <f>B31-G41</f>
        <v>1.0000000000000009E-2</v>
      </c>
      <c r="L41" s="7">
        <f t="shared" si="8"/>
        <v>-6.7559999999999842E-3</v>
      </c>
      <c r="M41" s="2">
        <f t="shared" si="8"/>
        <v>-1.0000000000010001E-6</v>
      </c>
    </row>
    <row r="42" spans="1:15" x14ac:dyDescent="0.2">
      <c r="A42" t="s">
        <v>12</v>
      </c>
      <c r="B42" s="11" t="s">
        <v>6</v>
      </c>
      <c r="C42" s="11"/>
      <c r="F42" t="s">
        <v>18</v>
      </c>
      <c r="G42">
        <v>0.9</v>
      </c>
      <c r="H42">
        <v>0.36588900000000002</v>
      </c>
      <c r="I42" s="5">
        <v>4.7855000000000002E-2</v>
      </c>
      <c r="K42" s="6">
        <f>B33-G42</f>
        <v>0</v>
      </c>
      <c r="L42" s="3">
        <f>C33-H42</f>
        <v>-1.4815999999999996E-2</v>
      </c>
      <c r="M42" s="8">
        <f>D33-I42</f>
        <v>-2.0000000000020002E-6</v>
      </c>
    </row>
    <row r="43" spans="1:15" x14ac:dyDescent="0.2">
      <c r="A43" t="s">
        <v>1</v>
      </c>
      <c r="B43" t="s">
        <v>8</v>
      </c>
      <c r="C43" t="s">
        <v>9</v>
      </c>
      <c r="G43" s="4"/>
      <c r="L43" s="7">
        <f>AVERAGE(L39:L42)</f>
        <v>-1.0036749999999997E-2</v>
      </c>
    </row>
    <row r="44" spans="1:15" x14ac:dyDescent="0.2">
      <c r="A44" t="s">
        <v>2</v>
      </c>
      <c r="B44">
        <v>0.06</v>
      </c>
      <c r="C44">
        <v>0.1</v>
      </c>
      <c r="E44" t="s">
        <v>21</v>
      </c>
      <c r="F44" t="s">
        <v>10</v>
      </c>
      <c r="G44" s="1" t="s">
        <v>7</v>
      </c>
      <c r="H44" s="1"/>
    </row>
    <row r="45" spans="1:15" x14ac:dyDescent="0.2">
      <c r="A45" t="s">
        <v>3</v>
      </c>
      <c r="B45">
        <v>0.25</v>
      </c>
      <c r="C45">
        <v>0.1</v>
      </c>
      <c r="F45" t="s">
        <v>1</v>
      </c>
      <c r="G45" t="s">
        <v>8</v>
      </c>
      <c r="H45" t="s">
        <v>9</v>
      </c>
    </row>
    <row r="46" spans="1:15" x14ac:dyDescent="0.2">
      <c r="A46" t="s">
        <v>4</v>
      </c>
      <c r="B46">
        <v>0.46</v>
      </c>
      <c r="C46">
        <v>0.08</v>
      </c>
      <c r="F46" t="s">
        <v>2</v>
      </c>
      <c r="G46">
        <v>0.28325</v>
      </c>
      <c r="H46" s="5">
        <v>7.7412999999999996E-2</v>
      </c>
      <c r="J46" s="2">
        <f>C29-G46</f>
        <v>1.8699999999999273E-4</v>
      </c>
      <c r="K46" s="9">
        <f>D29-H46</f>
        <v>0</v>
      </c>
    </row>
    <row r="47" spans="1:15" x14ac:dyDescent="0.2">
      <c r="A47" t="s">
        <v>5</v>
      </c>
      <c r="B47">
        <v>0.34</v>
      </c>
      <c r="C47">
        <v>7.0000000000000007E-2</v>
      </c>
      <c r="F47" t="s">
        <v>3</v>
      </c>
      <c r="G47">
        <v>0.26076300000000002</v>
      </c>
      <c r="H47" s="5">
        <v>6.6155000000000005E-2</v>
      </c>
      <c r="J47" s="2">
        <f t="shared" ref="J47:K48" si="9">C30-G47</f>
        <v>1.8299999999998873E-4</v>
      </c>
      <c r="K47" s="9">
        <f t="shared" si="9"/>
        <v>0</v>
      </c>
    </row>
    <row r="48" spans="1:15" x14ac:dyDescent="0.2">
      <c r="F48" t="s">
        <v>4</v>
      </c>
      <c r="G48">
        <v>0.50266299999999997</v>
      </c>
      <c r="H48" s="5">
        <v>5.4511999999999998E-2</v>
      </c>
      <c r="J48" s="2">
        <f t="shared" si="9"/>
        <v>1.1700000000003374E-4</v>
      </c>
      <c r="K48" s="9">
        <f t="shared" si="9"/>
        <v>-1.0000000000010001E-6</v>
      </c>
    </row>
    <row r="49" spans="5:11" x14ac:dyDescent="0.2">
      <c r="F49" t="s">
        <v>18</v>
      </c>
      <c r="G49">
        <v>0.35105500000000001</v>
      </c>
      <c r="H49" s="5">
        <v>4.7853E-2</v>
      </c>
      <c r="J49" s="2">
        <f>C33-G49</f>
        <v>1.8000000000018002E-5</v>
      </c>
      <c r="K49" s="9">
        <f>D33-H49</f>
        <v>0</v>
      </c>
    </row>
    <row r="51" spans="5:11" x14ac:dyDescent="0.2">
      <c r="E51" t="s">
        <v>22</v>
      </c>
      <c r="F51" t="s">
        <v>10</v>
      </c>
      <c r="G51" s="1" t="s">
        <v>7</v>
      </c>
      <c r="H51" s="1"/>
    </row>
    <row r="52" spans="5:11" x14ac:dyDescent="0.2">
      <c r="F52" t="s">
        <v>1</v>
      </c>
      <c r="G52" t="s">
        <v>8</v>
      </c>
      <c r="H52" t="s">
        <v>9</v>
      </c>
    </row>
    <row r="53" spans="5:11" x14ac:dyDescent="0.2">
      <c r="F53" t="s">
        <v>2</v>
      </c>
      <c r="G53">
        <v>0.28356900000000002</v>
      </c>
      <c r="H53" s="5">
        <v>7.7411999999999995E-2</v>
      </c>
      <c r="J53" s="2">
        <f>C29-G53</f>
        <v>-1.3200000000002099E-4</v>
      </c>
      <c r="K53" s="9">
        <f t="shared" ref="K53:K54" si="10">D29-H53</f>
        <v>1.0000000000010001E-6</v>
      </c>
    </row>
    <row r="54" spans="5:11" x14ac:dyDescent="0.2">
      <c r="F54" t="s">
        <v>3</v>
      </c>
      <c r="G54">
        <v>0.26133899999999999</v>
      </c>
      <c r="H54" s="5">
        <v>6.6154000000000004E-2</v>
      </c>
      <c r="J54" s="2">
        <f>C30-G54</f>
        <v>-3.929999999999767E-4</v>
      </c>
      <c r="K54" s="9">
        <f t="shared" si="10"/>
        <v>1.0000000000010001E-6</v>
      </c>
    </row>
    <row r="55" spans="5:11" x14ac:dyDescent="0.2">
      <c r="F55" t="s">
        <v>4</v>
      </c>
      <c r="G55">
        <v>0.50285400000000002</v>
      </c>
      <c r="H55" s="5">
        <v>5.4510999999999997E-2</v>
      </c>
      <c r="J55" s="2">
        <f>C31-G55</f>
        <v>-7.4000000000018495E-5</v>
      </c>
      <c r="K55" s="9">
        <f>D31-H55</f>
        <v>0</v>
      </c>
    </row>
    <row r="56" spans="5:11" x14ac:dyDescent="0.2">
      <c r="F56" t="s">
        <v>18</v>
      </c>
      <c r="G56">
        <v>0.35109099999999999</v>
      </c>
      <c r="H56" s="5">
        <v>4.7853E-2</v>
      </c>
      <c r="J56" s="2">
        <f>C33-G56</f>
        <v>-1.799999999996249E-5</v>
      </c>
      <c r="K56" s="9">
        <f>D33-H56</f>
        <v>0</v>
      </c>
    </row>
  </sheetData>
  <mergeCells count="14">
    <mergeCell ref="B42:C42"/>
    <mergeCell ref="J4:K4"/>
    <mergeCell ref="L4:M4"/>
    <mergeCell ref="H27:I27"/>
    <mergeCell ref="B18:C18"/>
    <mergeCell ref="D18:E18"/>
    <mergeCell ref="C27:D27"/>
    <mergeCell ref="B35:C35"/>
    <mergeCell ref="B4:C4"/>
    <mergeCell ref="F3:G3"/>
    <mergeCell ref="D4:E4"/>
    <mergeCell ref="B11:C11"/>
    <mergeCell ref="D11:E11"/>
    <mergeCell ref="H37:I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CB69-8B09-6044-9387-7F999398C598}">
  <dimension ref="A1:I23"/>
  <sheetViews>
    <sheetView workbookViewId="0">
      <selection activeCell="D6" sqref="A1:XFD1048576"/>
    </sheetView>
  </sheetViews>
  <sheetFormatPr baseColWidth="10" defaultRowHeight="16" x14ac:dyDescent="0.2"/>
  <cols>
    <col min="1" max="1" width="7.5" bestFit="1" customWidth="1"/>
    <col min="2" max="5" width="7.6640625" bestFit="1" customWidth="1"/>
  </cols>
  <sheetData>
    <row r="1" spans="1:9" x14ac:dyDescent="0.2">
      <c r="A1" t="s">
        <v>25</v>
      </c>
    </row>
    <row r="2" spans="1:9" x14ac:dyDescent="0.2">
      <c r="A2">
        <v>7.4999999999999997E-2</v>
      </c>
      <c r="B2">
        <v>4.0000000000000001E-3</v>
      </c>
    </row>
    <row r="4" spans="1:9" x14ac:dyDescent="0.2">
      <c r="A4" t="s">
        <v>10</v>
      </c>
      <c r="B4" s="11" t="s">
        <v>23</v>
      </c>
      <c r="C4" s="11"/>
      <c r="D4" s="11" t="s">
        <v>24</v>
      </c>
      <c r="E4" s="11"/>
      <c r="F4" s="11"/>
      <c r="G4" s="11"/>
      <c r="H4" s="11"/>
      <c r="I4" s="11"/>
    </row>
    <row r="5" spans="1:9" x14ac:dyDescent="0.2">
      <c r="A5" t="s">
        <v>1</v>
      </c>
      <c r="B5" t="s">
        <v>8</v>
      </c>
      <c r="C5" t="s">
        <v>9</v>
      </c>
      <c r="D5" t="s">
        <v>8</v>
      </c>
      <c r="E5" t="s">
        <v>9</v>
      </c>
    </row>
    <row r="6" spans="1:9" x14ac:dyDescent="0.2">
      <c r="A6" t="s">
        <v>2</v>
      </c>
      <c r="B6" s="7">
        <v>3.1275900000000002E-2</v>
      </c>
      <c r="C6" s="7">
        <v>6.3664400000000001E-3</v>
      </c>
      <c r="D6" s="7">
        <f>B6/$A$2</f>
        <v>0.41701200000000005</v>
      </c>
      <c r="E6" s="7">
        <f>D6*SQRT((C6/B6)^2+($B$2/$A$2)^2)</f>
        <v>8.7751104992249029E-2</v>
      </c>
      <c r="F6" s="2"/>
      <c r="G6" s="2"/>
    </row>
    <row r="7" spans="1:9" x14ac:dyDescent="0.2">
      <c r="A7" t="s">
        <v>3</v>
      </c>
      <c r="B7" s="7">
        <v>2.8006300000000001E-2</v>
      </c>
      <c r="C7" s="7">
        <v>5.4395199999999998E-3</v>
      </c>
      <c r="D7" s="7">
        <f t="shared" ref="D7:D9" si="0">B7/$A$2</f>
        <v>0.37341733333333338</v>
      </c>
      <c r="E7" s="7">
        <f t="shared" ref="E7:E9" si="1">D7*SQRT((C7/B7)^2+($B$2/$A$2)^2)</f>
        <v>7.5211613651368664E-2</v>
      </c>
      <c r="F7" s="2"/>
      <c r="G7" s="2"/>
    </row>
    <row r="8" spans="1:9" x14ac:dyDescent="0.2">
      <c r="A8" t="s">
        <v>4</v>
      </c>
      <c r="B8" s="7">
        <v>4.5992999999999999E-2</v>
      </c>
      <c r="C8" s="7">
        <v>4.4818899999999997E-3</v>
      </c>
      <c r="D8" s="7">
        <f t="shared" si="0"/>
        <v>0.61324000000000001</v>
      </c>
      <c r="E8" s="7">
        <f t="shared" si="1"/>
        <v>6.8123222646678194E-2</v>
      </c>
      <c r="F8" s="2"/>
      <c r="G8" s="2"/>
    </row>
    <row r="9" spans="1:9" x14ac:dyDescent="0.2">
      <c r="A9" t="s">
        <v>5</v>
      </c>
      <c r="B9" s="7">
        <v>3.2809499999999998E-2</v>
      </c>
      <c r="C9" s="7">
        <v>3.9320300000000004E-3</v>
      </c>
      <c r="D9" s="7">
        <f t="shared" si="0"/>
        <v>0.43746000000000002</v>
      </c>
      <c r="E9" s="7">
        <f t="shared" si="1"/>
        <v>5.7384163431308408E-2</v>
      </c>
      <c r="F9" s="2"/>
      <c r="G9" s="2"/>
    </row>
    <row r="11" spans="1:9" x14ac:dyDescent="0.2">
      <c r="A11" t="s">
        <v>11</v>
      </c>
      <c r="B11" s="10" t="s">
        <v>6</v>
      </c>
      <c r="C11" s="10"/>
      <c r="D11" s="10" t="s">
        <v>7</v>
      </c>
      <c r="E11" s="10"/>
      <c r="H11" s="11"/>
      <c r="I11" s="11"/>
    </row>
    <row r="12" spans="1:9" x14ac:dyDescent="0.2">
      <c r="A12" t="s">
        <v>1</v>
      </c>
      <c r="B12" t="s">
        <v>8</v>
      </c>
      <c r="C12" t="s">
        <v>9</v>
      </c>
      <c r="D12" t="s">
        <v>8</v>
      </c>
      <c r="E12" t="s">
        <v>9</v>
      </c>
    </row>
    <row r="13" spans="1:9" x14ac:dyDescent="0.2">
      <c r="A13" t="s">
        <v>2</v>
      </c>
      <c r="B13" s="7">
        <v>4.3857500000000001E-2</v>
      </c>
      <c r="C13" s="7">
        <v>8.7930500000000002E-3</v>
      </c>
      <c r="D13" s="7">
        <f>B13/$A$2</f>
        <v>0.58476666666666666</v>
      </c>
      <c r="E13" s="7">
        <f>D13*SQRT((C13/B13)^2+($B$2/$A$2)^2)</f>
        <v>0.12131791929461744</v>
      </c>
      <c r="F13" s="2"/>
      <c r="G13" s="2"/>
    </row>
    <row r="14" spans="1:9" x14ac:dyDescent="0.2">
      <c r="A14" t="s">
        <v>3</v>
      </c>
      <c r="B14" s="7">
        <v>2.55541E-2</v>
      </c>
      <c r="C14" s="7">
        <v>7.5070299999999996E-3</v>
      </c>
      <c r="D14" s="7">
        <f t="shared" ref="D14:D16" si="2">B14/$A$2</f>
        <v>0.34072133333333332</v>
      </c>
      <c r="E14" s="7">
        <f t="shared" ref="E14:E16" si="3">D14*SQRT((C14/B14)^2+($B$2/$A$2)^2)</f>
        <v>0.10172988709996475</v>
      </c>
      <c r="F14" s="2"/>
      <c r="G14" s="2"/>
    </row>
    <row r="15" spans="1:9" x14ac:dyDescent="0.2">
      <c r="A15" t="s">
        <v>4</v>
      </c>
      <c r="B15" s="7">
        <v>4.81976E-2</v>
      </c>
      <c r="C15" s="7">
        <v>6.1603500000000002E-3</v>
      </c>
      <c r="D15" s="7">
        <f t="shared" si="2"/>
        <v>0.64263466666666669</v>
      </c>
      <c r="E15" s="7">
        <f t="shared" si="3"/>
        <v>8.9001953695738573E-2</v>
      </c>
      <c r="F15" s="2"/>
      <c r="G15" s="2"/>
    </row>
    <row r="16" spans="1:9" x14ac:dyDescent="0.2">
      <c r="A16" t="s">
        <v>5</v>
      </c>
      <c r="B16" s="7">
        <v>3.4759999999999999E-2</v>
      </c>
      <c r="C16" s="7">
        <v>5.4018699999999996E-3</v>
      </c>
      <c r="D16" s="7">
        <f t="shared" si="2"/>
        <v>0.46346666666666669</v>
      </c>
      <c r="E16" s="7">
        <f t="shared" si="3"/>
        <v>7.614841778722832E-2</v>
      </c>
      <c r="F16" s="2"/>
      <c r="G16" s="2"/>
    </row>
    <row r="18" spans="1:9" x14ac:dyDescent="0.2">
      <c r="A18" t="s">
        <v>12</v>
      </c>
      <c r="B18" s="10" t="s">
        <v>6</v>
      </c>
      <c r="C18" s="10"/>
      <c r="D18" s="10" t="s">
        <v>7</v>
      </c>
      <c r="E18" s="10"/>
      <c r="H18" s="11"/>
      <c r="I18" s="11"/>
    </row>
    <row r="19" spans="1:9" x14ac:dyDescent="0.2">
      <c r="A19" t="s">
        <v>1</v>
      </c>
      <c r="B19" t="s">
        <v>8</v>
      </c>
      <c r="C19" t="s">
        <v>9</v>
      </c>
      <c r="D19" t="s">
        <v>8</v>
      </c>
      <c r="E19" t="s">
        <v>9</v>
      </c>
    </row>
    <row r="20" spans="1:9" x14ac:dyDescent="0.2">
      <c r="A20" t="s">
        <v>2</v>
      </c>
      <c r="B20" s="7">
        <v>1.7494300000000001E-2</v>
      </c>
      <c r="C20" s="7">
        <v>9.2297200000000003E-3</v>
      </c>
      <c r="D20" s="7">
        <f>B20/$A$2</f>
        <v>0.23325733333333334</v>
      </c>
      <c r="E20" s="7">
        <f>D20*SQRT((C20/B20)^2+($B$2/$A$2)^2)</f>
        <v>0.12369013255551897</v>
      </c>
      <c r="F20" s="2"/>
      <c r="G20" s="2"/>
    </row>
    <row r="21" spans="1:9" x14ac:dyDescent="0.2">
      <c r="A21" t="s">
        <v>3</v>
      </c>
      <c r="B21" s="7">
        <v>3.0685E-2</v>
      </c>
      <c r="C21" s="7">
        <v>7.8925499999999999E-3</v>
      </c>
      <c r="D21" s="7">
        <f t="shared" ref="D21:D23" si="4">B21/$A$2</f>
        <v>0.40913333333333335</v>
      </c>
      <c r="E21" s="7">
        <f t="shared" ref="E21:E23" si="5">D21*SQRT((C21/B21)^2+($B$2/$A$2)^2)</f>
        <v>0.10747244554653575</v>
      </c>
      <c r="F21" s="2"/>
      <c r="G21" s="2"/>
    </row>
    <row r="22" spans="1:9" x14ac:dyDescent="0.2">
      <c r="A22" t="s">
        <v>4</v>
      </c>
      <c r="B22" s="7">
        <v>4.3543699999999998E-2</v>
      </c>
      <c r="C22" s="7">
        <v>6.5324700000000003E-3</v>
      </c>
      <c r="D22" s="7">
        <f t="shared" si="4"/>
        <v>0.58058266666666669</v>
      </c>
      <c r="E22" s="7">
        <f t="shared" si="5"/>
        <v>9.2439899058784691E-2</v>
      </c>
      <c r="F22" s="2"/>
      <c r="G22" s="2"/>
    </row>
    <row r="23" spans="1:9" x14ac:dyDescent="0.2">
      <c r="A23" t="s">
        <v>5</v>
      </c>
      <c r="B23" s="7">
        <v>3.0622400000000001E-2</v>
      </c>
      <c r="C23" s="7">
        <v>5.7343999999999997E-3</v>
      </c>
      <c r="D23" s="7">
        <f t="shared" si="4"/>
        <v>0.4082986666666667</v>
      </c>
      <c r="E23" s="7">
        <f t="shared" si="5"/>
        <v>7.9499174759354516E-2</v>
      </c>
      <c r="F23" s="2"/>
      <c r="G23" s="2"/>
    </row>
  </sheetData>
  <mergeCells count="6">
    <mergeCell ref="H4:I4"/>
    <mergeCell ref="H11:I11"/>
    <mergeCell ref="H18:I18"/>
    <mergeCell ref="B4:C4"/>
    <mergeCell ref="D4:E4"/>
    <mergeCell ref="F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0890-2326-A847-8B67-0C5BE5C82FC0}">
  <dimension ref="A1:H32"/>
  <sheetViews>
    <sheetView tabSelected="1" workbookViewId="0">
      <selection sqref="A1:B4"/>
    </sheetView>
  </sheetViews>
  <sheetFormatPr baseColWidth="10" defaultRowHeight="16" x14ac:dyDescent="0.2"/>
  <sheetData>
    <row r="1" spans="1:8" x14ac:dyDescent="0.2">
      <c r="A1" t="s">
        <v>35</v>
      </c>
      <c r="B1" s="2">
        <v>1.1659208900000001E-3</v>
      </c>
    </row>
    <row r="2" spans="1:8" x14ac:dyDescent="0.2">
      <c r="A2" t="s">
        <v>34</v>
      </c>
      <c r="B2">
        <f>SQRT(1+(1/B1))</f>
        <v>29.303431969091314</v>
      </c>
    </row>
    <row r="3" spans="1:8" x14ac:dyDescent="0.2">
      <c r="A3" t="s">
        <v>33</v>
      </c>
      <c r="B3">
        <f>0.0495092*1000</f>
        <v>49.5092</v>
      </c>
    </row>
    <row r="4" spans="1:8" x14ac:dyDescent="0.2">
      <c r="A4" t="s">
        <v>36</v>
      </c>
      <c r="B4">
        <f>B3/B2</f>
        <v>1.6895358895920907</v>
      </c>
    </row>
    <row r="6" spans="1:8" x14ac:dyDescent="0.2">
      <c r="A6" t="s">
        <v>2</v>
      </c>
    </row>
    <row r="7" spans="1:8" x14ac:dyDescent="0.2">
      <c r="B7" t="s">
        <v>26</v>
      </c>
      <c r="C7" t="s">
        <v>27</v>
      </c>
      <c r="E7" t="s">
        <v>28</v>
      </c>
      <c r="G7" t="s">
        <v>29</v>
      </c>
    </row>
    <row r="8" spans="1:8" x14ac:dyDescent="0.2">
      <c r="A8" t="s">
        <v>30</v>
      </c>
      <c r="B8" t="s">
        <v>31</v>
      </c>
      <c r="C8" t="s">
        <v>31</v>
      </c>
      <c r="D8" t="s">
        <v>32</v>
      </c>
      <c r="E8" t="s">
        <v>31</v>
      </c>
      <c r="F8" t="s">
        <v>32</v>
      </c>
      <c r="G8" t="s">
        <v>31</v>
      </c>
      <c r="H8" t="s">
        <v>32</v>
      </c>
    </row>
    <row r="9" spans="1:8" x14ac:dyDescent="0.2">
      <c r="A9" t="s">
        <v>11</v>
      </c>
      <c r="B9">
        <v>0.88305</v>
      </c>
      <c r="C9">
        <v>4.3860099999999999E-2</v>
      </c>
      <c r="D9">
        <v>8.7929400000000008E-3</v>
      </c>
      <c r="E9">
        <v>-1.2127800000000001E-3</v>
      </c>
      <c r="F9">
        <v>8.7887799999999995E-3</v>
      </c>
      <c r="G9">
        <v>-1.1474600000000001E-3</v>
      </c>
      <c r="H9">
        <v>6.2268699999999998E-3</v>
      </c>
    </row>
    <row r="10" spans="1:8" x14ac:dyDescent="0.2">
      <c r="A10" t="s">
        <v>12</v>
      </c>
      <c r="B10">
        <v>0.85123700000000002</v>
      </c>
      <c r="C10">
        <v>1.7480800000000001E-2</v>
      </c>
      <c r="D10">
        <v>9.2295699999999994E-3</v>
      </c>
      <c r="E10">
        <v>5.1927800000000001E-3</v>
      </c>
      <c r="F10">
        <v>9.2193299999999995E-3</v>
      </c>
      <c r="G10">
        <v>-2.07744E-4</v>
      </c>
      <c r="H10">
        <v>6.5330099999999997E-3</v>
      </c>
    </row>
    <row r="11" spans="1:8" x14ac:dyDescent="0.2">
      <c r="A11" t="s">
        <v>10</v>
      </c>
      <c r="B11">
        <v>0.86763999999999997</v>
      </c>
      <c r="C11">
        <v>3.1270800000000001E-2</v>
      </c>
      <c r="D11">
        <v>6.3663499999999998E-3</v>
      </c>
      <c r="E11">
        <v>1.8536099999999999E-3</v>
      </c>
      <c r="F11">
        <v>6.3613899999999998E-3</v>
      </c>
      <c r="G11">
        <v>-6.9955699999999996E-4</v>
      </c>
      <c r="H11">
        <v>4.5074199999999998E-3</v>
      </c>
    </row>
    <row r="13" spans="1:8" x14ac:dyDescent="0.2">
      <c r="A13" t="s">
        <v>3</v>
      </c>
    </row>
    <row r="14" spans="1:8" x14ac:dyDescent="0.2">
      <c r="B14" t="s">
        <v>26</v>
      </c>
      <c r="C14" t="s">
        <v>27</v>
      </c>
      <c r="E14" t="s">
        <v>28</v>
      </c>
      <c r="G14" t="s">
        <v>29</v>
      </c>
    </row>
    <row r="15" spans="1:8" x14ac:dyDescent="0.2">
      <c r="A15" t="s">
        <v>30</v>
      </c>
      <c r="B15" t="s">
        <v>31</v>
      </c>
      <c r="C15" t="s">
        <v>31</v>
      </c>
      <c r="D15" t="s">
        <v>32</v>
      </c>
      <c r="E15" t="s">
        <v>31</v>
      </c>
      <c r="F15" t="s">
        <v>32</v>
      </c>
      <c r="G15" t="s">
        <v>31</v>
      </c>
      <c r="H15" t="s">
        <v>32</v>
      </c>
    </row>
    <row r="16" spans="1:8" x14ac:dyDescent="0.2">
      <c r="A16" t="s">
        <v>11</v>
      </c>
      <c r="B16">
        <v>0.57067699999999999</v>
      </c>
      <c r="C16">
        <v>2.5560300000000001E-2</v>
      </c>
      <c r="D16">
        <v>7.5069000000000004E-3</v>
      </c>
      <c r="E16">
        <v>-2.0172499999999999E-3</v>
      </c>
      <c r="F16">
        <v>7.49178E-3</v>
      </c>
      <c r="G16">
        <v>-2.2965899999999998E-3</v>
      </c>
      <c r="H16">
        <v>5.3120900000000002E-3</v>
      </c>
    </row>
    <row r="17" spans="1:8" x14ac:dyDescent="0.2">
      <c r="A17" t="s">
        <v>12</v>
      </c>
      <c r="B17">
        <v>0.82675100000000001</v>
      </c>
      <c r="C17">
        <v>3.0718100000000002E-2</v>
      </c>
      <c r="D17">
        <v>7.8924200000000007E-3</v>
      </c>
      <c r="E17">
        <v>-1.01289E-2</v>
      </c>
      <c r="F17">
        <v>7.88698E-3</v>
      </c>
      <c r="G17">
        <v>-1.81909E-3</v>
      </c>
      <c r="H17">
        <v>5.5873600000000004E-3</v>
      </c>
    </row>
    <row r="18" spans="1:8" x14ac:dyDescent="0.2">
      <c r="A18" t="s">
        <v>10</v>
      </c>
      <c r="B18">
        <v>0.69826999999999995</v>
      </c>
      <c r="C18">
        <v>2.80253E-2</v>
      </c>
      <c r="D18">
        <v>5.4394300000000003E-3</v>
      </c>
      <c r="E18">
        <v>-5.8769399999999998E-3</v>
      </c>
      <c r="F18">
        <v>5.4318600000000002E-3</v>
      </c>
      <c r="G18">
        <v>-2.06347E-3</v>
      </c>
      <c r="H18">
        <v>3.84987E-3</v>
      </c>
    </row>
    <row r="20" spans="1:8" x14ac:dyDescent="0.2">
      <c r="A20" t="s">
        <v>4</v>
      </c>
    </row>
    <row r="21" spans="1:8" x14ac:dyDescent="0.2">
      <c r="B21" t="s">
        <v>26</v>
      </c>
      <c r="C21" t="s">
        <v>27</v>
      </c>
      <c r="E21" t="s">
        <v>28</v>
      </c>
      <c r="G21" t="s">
        <v>29</v>
      </c>
    </row>
    <row r="22" spans="1:8" x14ac:dyDescent="0.2">
      <c r="A22" t="s">
        <v>30</v>
      </c>
      <c r="B22" t="s">
        <v>31</v>
      </c>
      <c r="C22" t="s">
        <v>31</v>
      </c>
      <c r="D22" t="s">
        <v>32</v>
      </c>
      <c r="E22" t="s">
        <v>31</v>
      </c>
      <c r="F22" t="s">
        <v>32</v>
      </c>
      <c r="G22" t="s">
        <v>31</v>
      </c>
      <c r="H22" t="s">
        <v>32</v>
      </c>
    </row>
    <row r="23" spans="1:8" x14ac:dyDescent="0.2">
      <c r="A23" t="s">
        <v>11</v>
      </c>
      <c r="B23">
        <v>1.0548599999999999</v>
      </c>
      <c r="C23">
        <v>4.8196799999999998E-2</v>
      </c>
      <c r="D23">
        <v>6.1602799999999997E-3</v>
      </c>
      <c r="E23">
        <v>4.0131699999999999E-4</v>
      </c>
      <c r="F23">
        <v>6.1536000000000004E-3</v>
      </c>
      <c r="G23">
        <v>3.6478299999999999E-3</v>
      </c>
      <c r="H23">
        <v>4.3609800000000004E-3</v>
      </c>
    </row>
    <row r="24" spans="1:8" x14ac:dyDescent="0.2">
      <c r="A24" t="s">
        <v>12</v>
      </c>
      <c r="B24">
        <v>1.4328399999999999</v>
      </c>
      <c r="C24">
        <v>4.3546599999999998E-2</v>
      </c>
      <c r="D24">
        <v>6.53238E-3</v>
      </c>
      <c r="E24">
        <v>-2.7177899999999999E-3</v>
      </c>
      <c r="F24">
        <v>6.5260400000000003E-3</v>
      </c>
      <c r="G24">
        <v>4.2183400000000001E-3</v>
      </c>
      <c r="H24">
        <v>4.62364E-3</v>
      </c>
    </row>
    <row r="25" spans="1:8" x14ac:dyDescent="0.2">
      <c r="A25" t="s">
        <v>10</v>
      </c>
      <c r="B25">
        <v>1.4193199999999999</v>
      </c>
      <c r="C25">
        <v>4.5993899999999997E-2</v>
      </c>
      <c r="D25">
        <v>4.48183E-3</v>
      </c>
      <c r="E25">
        <v>-1.07424E-3</v>
      </c>
      <c r="F25">
        <v>4.47716E-3</v>
      </c>
      <c r="G25">
        <v>3.9147299999999999E-3</v>
      </c>
      <c r="H25">
        <v>3.1725099999999999E-3</v>
      </c>
    </row>
    <row r="27" spans="1:8" x14ac:dyDescent="0.2">
      <c r="A27" t="s">
        <v>5</v>
      </c>
    </row>
    <row r="28" spans="1:8" x14ac:dyDescent="0.2">
      <c r="B28" t="s">
        <v>26</v>
      </c>
      <c r="C28" t="s">
        <v>27</v>
      </c>
      <c r="E28" t="s">
        <v>28</v>
      </c>
      <c r="G28" t="s">
        <v>29</v>
      </c>
    </row>
    <row r="29" spans="1:8" x14ac:dyDescent="0.2">
      <c r="A29" t="s">
        <v>30</v>
      </c>
      <c r="B29" t="s">
        <v>31</v>
      </c>
      <c r="C29" t="s">
        <v>31</v>
      </c>
      <c r="D29" t="s">
        <v>32</v>
      </c>
      <c r="E29" t="s">
        <v>31</v>
      </c>
      <c r="F29" t="s">
        <v>32</v>
      </c>
      <c r="G29" t="s">
        <v>31</v>
      </c>
      <c r="H29" t="s">
        <v>32</v>
      </c>
    </row>
    <row r="30" spans="1:8" x14ac:dyDescent="0.2">
      <c r="A30" t="s">
        <v>11</v>
      </c>
      <c r="B30">
        <v>0.77335799999999999</v>
      </c>
      <c r="C30">
        <v>3.4760399999999997E-2</v>
      </c>
      <c r="D30">
        <v>5.4018099999999999E-3</v>
      </c>
      <c r="E30">
        <v>7.9582899999999998E-3</v>
      </c>
      <c r="F30">
        <v>5.3944500000000003E-3</v>
      </c>
      <c r="G30">
        <v>1.65763E-3</v>
      </c>
      <c r="H30">
        <v>3.8233299999999998E-3</v>
      </c>
    </row>
    <row r="31" spans="1:8" x14ac:dyDescent="0.2">
      <c r="A31" t="s">
        <v>12</v>
      </c>
      <c r="B31">
        <v>0.46556700000000001</v>
      </c>
      <c r="C31">
        <v>3.0622099999999999E-2</v>
      </c>
      <c r="D31">
        <v>5.7343400000000001E-3</v>
      </c>
      <c r="E31" s="2">
        <v>-7.1671299999999999E-6</v>
      </c>
      <c r="F31">
        <v>5.7283000000000004E-3</v>
      </c>
      <c r="G31">
        <v>-1.49455E-4</v>
      </c>
      <c r="H31">
        <v>4.0587699999999997E-3</v>
      </c>
    </row>
    <row r="32" spans="1:8" x14ac:dyDescent="0.2">
      <c r="A32" t="s">
        <v>10</v>
      </c>
      <c r="B32">
        <v>0.62349500000000002</v>
      </c>
      <c r="C32">
        <v>3.2809499999999998E-2</v>
      </c>
      <c r="D32">
        <v>3.9319899999999998E-3</v>
      </c>
      <c r="E32">
        <v>4.2053200000000002E-3</v>
      </c>
      <c r="F32">
        <v>3.9272200000000004E-3</v>
      </c>
      <c r="G32">
        <v>8.0419499999999995E-4</v>
      </c>
      <c r="H32">
        <v>2.7830400000000001E-3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SimultaneousFits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2022-06-08T10:29:20Z</dcterms:created>
  <dcterms:modified xsi:type="dcterms:W3CDTF">2022-10-07T13:54:38Z</dcterms:modified>
</cp:coreProperties>
</file>