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13_ncr:1_{0C6C4270-6D10-C943-8D16-072281B2F8FF}" xr6:coauthVersionLast="47" xr6:coauthVersionMax="47" xr10:uidLastSave="{00000000-0000-0000-0000-000000000000}"/>
  <bookViews>
    <workbookView xWindow="60" yWindow="500" windowWidth="23580" windowHeight="16940" xr2:uid="{17D71C46-F216-1347-8A90-14C7EE0E084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33" i="1" l="1"/>
  <c r="L33" i="1"/>
  <c r="L32" i="1"/>
  <c r="L30" i="1"/>
  <c r="L31" i="1"/>
  <c r="L34" i="1"/>
  <c r="L29" i="1"/>
  <c r="K29" i="1"/>
  <c r="K53" i="1"/>
  <c r="K54" i="1"/>
  <c r="K55" i="1"/>
  <c r="K56" i="1"/>
  <c r="J56" i="1"/>
  <c r="J55" i="1"/>
  <c r="J54" i="1"/>
  <c r="J53" i="1"/>
  <c r="J49" i="1"/>
  <c r="K49" i="1"/>
  <c r="K46" i="1"/>
  <c r="K48" i="1"/>
  <c r="K47" i="1"/>
  <c r="J47" i="1"/>
  <c r="J48" i="1"/>
  <c r="J46" i="1"/>
  <c r="L42" i="1"/>
  <c r="K42" i="1"/>
  <c r="L43" i="1"/>
  <c r="M40" i="1"/>
  <c r="M39" i="1"/>
  <c r="M42" i="1"/>
  <c r="M41" i="1"/>
  <c r="L40" i="1"/>
  <c r="L41" i="1"/>
  <c r="L39" i="1"/>
  <c r="K40" i="1"/>
  <c r="K41" i="1"/>
  <c r="K39" i="1"/>
  <c r="M29" i="1"/>
  <c r="O34" i="1"/>
  <c r="N34" i="1"/>
  <c r="G34" i="1"/>
  <c r="M34" i="1"/>
  <c r="M33" i="1"/>
  <c r="M32" i="1"/>
  <c r="M31" i="1"/>
  <c r="M30" i="1"/>
  <c r="K32" i="1"/>
  <c r="K30" i="1"/>
  <c r="K31" i="1"/>
  <c r="K34" i="1"/>
  <c r="D23" i="1"/>
  <c r="E23" i="1" s="1"/>
  <c r="D22" i="1"/>
  <c r="E22" i="1" s="1"/>
  <c r="D21" i="1"/>
  <c r="E21" i="1" s="1"/>
  <c r="D20" i="1"/>
  <c r="E20" i="1" s="1"/>
  <c r="D16" i="1"/>
  <c r="E16" i="1" s="1"/>
  <c r="D15" i="1"/>
  <c r="E15" i="1" s="1"/>
  <c r="D14" i="1"/>
  <c r="E14" i="1" s="1"/>
  <c r="D13" i="1"/>
  <c r="E13" i="1" s="1"/>
  <c r="D9" i="1"/>
  <c r="E9" i="1" s="1"/>
  <c r="D7" i="1"/>
  <c r="E7" i="1" s="1"/>
  <c r="D8" i="1"/>
  <c r="E8" i="1" s="1"/>
  <c r="D6" i="1"/>
  <c r="E6" i="1" s="1"/>
  <c r="I34" i="1" l="1"/>
</calcChain>
</file>

<file path=xl/sharedStrings.xml><?xml version="1.0" encoding="utf-8"?>
<sst xmlns="http://schemas.openxmlformats.org/spreadsheetml/2006/main" count="115" uniqueCount="23">
  <si>
    <t>d_EDM</t>
  </si>
  <si>
    <t>Dataset</t>
  </si>
  <si>
    <t>Run-1a</t>
  </si>
  <si>
    <t>Run-1b</t>
  </si>
  <si>
    <t>Run-1c</t>
  </si>
  <si>
    <t>Run-1d</t>
  </si>
  <si>
    <t>A_EDM</t>
  </si>
  <si>
    <t>delta</t>
  </si>
  <si>
    <t>Value</t>
  </si>
  <si>
    <t>Error</t>
  </si>
  <si>
    <t>S12S18</t>
  </si>
  <si>
    <t>S12</t>
  </si>
  <si>
    <t>S18</t>
  </si>
  <si>
    <t>dMu</t>
  </si>
  <si>
    <t>Simul fits</t>
  </si>
  <si>
    <t xml:space="preserve">Mom binned </t>
  </si>
  <si>
    <t>NO RAND</t>
  </si>
  <si>
    <t>Diff</t>
  </si>
  <si>
    <t>Run-1d (50 us)</t>
  </si>
  <si>
    <t>chi2</t>
  </si>
  <si>
    <t>NO VERT CORR</t>
  </si>
  <si>
    <t>PLUS PHI ERR</t>
  </si>
  <si>
    <t>MINUS PHI 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</si>
</sst>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"/>
    <numFmt numFmtId="166" formatCode="0.0000000"/>
    <numFmt numFmtId="167" formatCode="0.00000000"/>
    <numFmt numFmtId="168" formatCode="0.00000"/>
    <numFmt numFmtId="169" formatCode="0.0E+00"/>
    <numFmt numFmtId="170" formatCode="0.000000000000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3539C-4E7C-F84C-8DA8-B8B58200F3D2}">
  <dimension ref="A1:O56"/>
  <sheetViews>
    <sheetView tabSelected="1" topLeftCell="F12" workbookViewId="0">
      <selection activeCell="O24" sqref="O24"/>
    </sheetView>
  </sheetViews>
  <sheetFormatPr baseColWidth="10" defaultRowHeight="16" x14ac:dyDescent="0.2"/>
  <cols>
    <col min="1" max="1" width="13.1640625" bestFit="1" customWidth="1"/>
    <col min="5" max="6" width="13.1640625" bestFit="1" customWidth="1"/>
    <col min="9" max="9" width="11.6640625" bestFit="1" customWidth="1"/>
    <col min="10" max="10" width="11.33203125" bestFit="1" customWidth="1"/>
    <col min="11" max="11" width="15.33203125" bestFit="1" customWidth="1"/>
    <col min="12" max="12" width="11.33203125" bestFit="1" customWidth="1"/>
    <col min="13" max="13" width="14" bestFit="1" customWidth="1"/>
  </cols>
  <sheetData>
    <row r="1" spans="1:15" x14ac:dyDescent="0.2">
      <c r="A1" t="s">
        <v>0</v>
      </c>
    </row>
    <row r="2" spans="1:15" x14ac:dyDescent="0.2">
      <c r="A2">
        <v>7.4999999999999997E-2</v>
      </c>
      <c r="B2">
        <v>4.0000000000000001E-3</v>
      </c>
      <c r="I2" t="s">
        <v>16</v>
      </c>
    </row>
    <row r="3" spans="1:15" x14ac:dyDescent="0.2">
      <c r="A3" t="s">
        <v>14</v>
      </c>
      <c r="F3" s="10"/>
      <c r="G3" s="10"/>
    </row>
    <row r="4" spans="1:15" x14ac:dyDescent="0.2">
      <c r="A4" t="s">
        <v>10</v>
      </c>
      <c r="B4" s="10" t="s">
        <v>6</v>
      </c>
      <c r="C4" s="10"/>
      <c r="D4" s="10" t="s">
        <v>7</v>
      </c>
      <c r="E4" s="10"/>
      <c r="F4" t="s">
        <v>13</v>
      </c>
      <c r="J4" s="10"/>
      <c r="K4" s="10"/>
      <c r="L4" s="10"/>
      <c r="M4" s="10"/>
    </row>
    <row r="5" spans="1:15" x14ac:dyDescent="0.2">
      <c r="A5" t="s">
        <v>1</v>
      </c>
      <c r="B5" t="s">
        <v>8</v>
      </c>
      <c r="C5" t="s">
        <v>9</v>
      </c>
      <c r="D5" t="s">
        <v>8</v>
      </c>
      <c r="E5" t="s">
        <v>9</v>
      </c>
    </row>
    <row r="6" spans="1:15" x14ac:dyDescent="0.2">
      <c r="A6" t="s">
        <v>2</v>
      </c>
      <c r="B6">
        <v>3.1E-2</v>
      </c>
      <c r="C6">
        <v>6.0000000000000001E-3</v>
      </c>
      <c r="D6">
        <f>B6/$A$2</f>
        <v>0.41333333333333333</v>
      </c>
      <c r="E6">
        <f>D6*SQRT((C6/B6)^2+($B$2/$A$2)^2)</f>
        <v>8.2981669848612938E-2</v>
      </c>
      <c r="F6" s="2">
        <v>1.30881E-18</v>
      </c>
      <c r="G6" s="2">
        <v>2.5537800000000001E-19</v>
      </c>
      <c r="N6" s="2"/>
      <c r="O6" s="2"/>
    </row>
    <row r="7" spans="1:15" x14ac:dyDescent="0.2">
      <c r="A7" t="s">
        <v>3</v>
      </c>
      <c r="B7">
        <v>2.8000000000000001E-2</v>
      </c>
      <c r="C7">
        <v>5.0000000000000001E-3</v>
      </c>
      <c r="D7">
        <f t="shared" ref="D7:D8" si="0">B7/$A$2</f>
        <v>0.37333333333333335</v>
      </c>
      <c r="E7">
        <f t="shared" ref="E7:E9" si="1">D7*SQRT((C7/B7)^2+($B$2/$A$2)^2)</f>
        <v>6.9576553451025855E-2</v>
      </c>
      <c r="F7" s="2">
        <v>1.1811200000000001E-18</v>
      </c>
      <c r="G7" s="2">
        <v>2.2345600000000001E-19</v>
      </c>
      <c r="N7" s="2"/>
      <c r="O7" s="2"/>
    </row>
    <row r="8" spans="1:15" x14ac:dyDescent="0.2">
      <c r="A8" t="s">
        <v>4</v>
      </c>
      <c r="B8">
        <v>4.5999999999999999E-2</v>
      </c>
      <c r="C8">
        <v>4.0000000000000001E-3</v>
      </c>
      <c r="D8">
        <f t="shared" si="0"/>
        <v>0.6133333333333334</v>
      </c>
      <c r="E8">
        <f t="shared" si="1"/>
        <v>6.2565655391499747E-2</v>
      </c>
      <c r="F8" s="2">
        <v>1.9472599999999999E-18</v>
      </c>
      <c r="G8" s="2">
        <v>1.91533E-19</v>
      </c>
      <c r="N8" s="2"/>
      <c r="O8" s="2"/>
    </row>
    <row r="9" spans="1:15" x14ac:dyDescent="0.2">
      <c r="A9" t="s">
        <v>5</v>
      </c>
      <c r="B9">
        <v>3.3000000000000002E-2</v>
      </c>
      <c r="C9">
        <v>4.0000000000000001E-3</v>
      </c>
      <c r="D9">
        <f>B9/$A$2</f>
        <v>0.44000000000000006</v>
      </c>
      <c r="E9">
        <f t="shared" si="1"/>
        <v>5.8267734543990042E-2</v>
      </c>
      <c r="F9" s="2">
        <v>1.40458E-18</v>
      </c>
      <c r="G9" s="2">
        <v>1.91533E-19</v>
      </c>
      <c r="N9" s="2"/>
      <c r="O9" s="2"/>
    </row>
    <row r="11" spans="1:15" x14ac:dyDescent="0.2">
      <c r="A11" t="s">
        <v>11</v>
      </c>
      <c r="B11" s="10" t="s">
        <v>6</v>
      </c>
      <c r="C11" s="10"/>
      <c r="D11" s="10" t="s">
        <v>7</v>
      </c>
      <c r="E11" s="10"/>
    </row>
    <row r="12" spans="1:15" x14ac:dyDescent="0.2">
      <c r="A12" t="s">
        <v>1</v>
      </c>
      <c r="B12" t="s">
        <v>8</v>
      </c>
      <c r="C12" t="s">
        <v>9</v>
      </c>
      <c r="D12" t="s">
        <v>8</v>
      </c>
      <c r="E12" t="s">
        <v>9</v>
      </c>
    </row>
    <row r="13" spans="1:15" x14ac:dyDescent="0.2">
      <c r="A13" t="s">
        <v>2</v>
      </c>
      <c r="B13">
        <v>4.3999999999999997E-2</v>
      </c>
      <c r="C13">
        <v>8.9999999999999993E-3</v>
      </c>
      <c r="D13">
        <f>B13/$A$2</f>
        <v>0.58666666666666667</v>
      </c>
      <c r="E13">
        <f>D13*SQRT((C13/B13)^2+($B$2/$A$2)^2)</f>
        <v>0.12401207428271342</v>
      </c>
      <c r="F13" s="2">
        <v>1.9153300000000001E-18</v>
      </c>
      <c r="G13" s="2">
        <v>3.19222E-19</v>
      </c>
    </row>
    <row r="14" spans="1:15" x14ac:dyDescent="0.2">
      <c r="A14" t="s">
        <v>3</v>
      </c>
      <c r="B14">
        <v>2.5999999999999999E-2</v>
      </c>
      <c r="C14">
        <v>8.0000000000000002E-3</v>
      </c>
      <c r="D14">
        <f t="shared" ref="D14:D15" si="2">B14/$A$2</f>
        <v>0.34666666666666668</v>
      </c>
      <c r="E14">
        <f t="shared" ref="E14:E16" si="3">D14*SQRT((C14/B14)^2+($B$2/$A$2)^2)</f>
        <v>0.10825717893111504</v>
      </c>
      <c r="F14" s="2">
        <v>9.5766700000000004E-19</v>
      </c>
      <c r="G14" s="2">
        <v>3.19222E-19</v>
      </c>
    </row>
    <row r="15" spans="1:15" x14ac:dyDescent="0.2">
      <c r="A15" t="s">
        <v>4</v>
      </c>
      <c r="B15">
        <v>4.8000000000000001E-2</v>
      </c>
      <c r="C15">
        <v>6.0000000000000001E-3</v>
      </c>
      <c r="D15">
        <f t="shared" si="2"/>
        <v>0.64</v>
      </c>
      <c r="E15">
        <f t="shared" si="3"/>
        <v>8.6977493896090427E-2</v>
      </c>
      <c r="F15" s="2">
        <v>2.0430200000000001E-18</v>
      </c>
      <c r="G15" s="2">
        <v>2.873E-19</v>
      </c>
    </row>
    <row r="16" spans="1:15" x14ac:dyDescent="0.2">
      <c r="A16" t="s">
        <v>5</v>
      </c>
      <c r="B16">
        <v>3.5000000000000003E-2</v>
      </c>
      <c r="C16">
        <v>5.0000000000000001E-3</v>
      </c>
      <c r="D16">
        <f>B16/$A$2</f>
        <v>0.46666666666666673</v>
      </c>
      <c r="E16">
        <f t="shared" si="3"/>
        <v>7.1161093545334897E-2</v>
      </c>
      <c r="F16" s="2">
        <v>1.5003399999999999E-18</v>
      </c>
      <c r="G16" s="2">
        <v>2.2345600000000001E-19</v>
      </c>
    </row>
    <row r="18" spans="1:15" x14ac:dyDescent="0.2">
      <c r="A18" t="s">
        <v>12</v>
      </c>
      <c r="B18" s="10" t="s">
        <v>6</v>
      </c>
      <c r="C18" s="10"/>
      <c r="D18" s="10" t="s">
        <v>7</v>
      </c>
      <c r="E18" s="10"/>
    </row>
    <row r="19" spans="1:15" x14ac:dyDescent="0.2">
      <c r="A19" t="s">
        <v>1</v>
      </c>
      <c r="B19" t="s">
        <v>8</v>
      </c>
      <c r="C19" t="s">
        <v>9</v>
      </c>
      <c r="D19" t="s">
        <v>8</v>
      </c>
      <c r="E19" t="s">
        <v>9</v>
      </c>
    </row>
    <row r="20" spans="1:15" x14ac:dyDescent="0.2">
      <c r="A20" t="s">
        <v>2</v>
      </c>
      <c r="B20">
        <v>1.7000000000000001E-2</v>
      </c>
      <c r="C20">
        <v>8.9999999999999993E-3</v>
      </c>
      <c r="D20">
        <f>B20/$A$2</f>
        <v>0.22666666666666668</v>
      </c>
      <c r="E20">
        <f>D20*SQRT((C20/B20)^2+($B$2/$A$2)^2)</f>
        <v>0.12060738466017699</v>
      </c>
      <c r="F20" s="2">
        <v>6.38445E-19</v>
      </c>
      <c r="G20" s="2">
        <v>3.19222E-19</v>
      </c>
    </row>
    <row r="21" spans="1:15" x14ac:dyDescent="0.2">
      <c r="A21" t="s">
        <v>3</v>
      </c>
      <c r="B21">
        <v>3.1E-2</v>
      </c>
      <c r="C21">
        <v>8.0000000000000002E-3</v>
      </c>
      <c r="D21">
        <f t="shared" ref="D21:D22" si="4">B21/$A$2</f>
        <v>0.41333333333333333</v>
      </c>
      <c r="E21">
        <f t="shared" ref="E21:E23" si="5">D21*SQRT((C21/B21)^2+($B$2/$A$2)^2)</f>
        <v>0.1089207753766102</v>
      </c>
      <c r="F21" s="2">
        <v>1.27689E-18</v>
      </c>
      <c r="G21" s="2">
        <v>3.19222E-19</v>
      </c>
    </row>
    <row r="22" spans="1:15" x14ac:dyDescent="0.2">
      <c r="A22" t="s">
        <v>4</v>
      </c>
      <c r="B22">
        <v>4.3999999999999997E-2</v>
      </c>
      <c r="C22">
        <v>7.0000000000000001E-3</v>
      </c>
      <c r="D22">
        <f t="shared" si="4"/>
        <v>0.58666666666666667</v>
      </c>
      <c r="E22">
        <f t="shared" si="5"/>
        <v>9.8438334397796215E-2</v>
      </c>
      <c r="F22" s="2">
        <v>1.9153300000000001E-18</v>
      </c>
      <c r="G22" s="2">
        <v>3.19222E-19</v>
      </c>
    </row>
    <row r="23" spans="1:15" x14ac:dyDescent="0.2">
      <c r="A23" t="s">
        <v>5</v>
      </c>
      <c r="B23">
        <v>3.1E-2</v>
      </c>
      <c r="C23">
        <v>6.0000000000000001E-3</v>
      </c>
      <c r="D23">
        <f>B23/$A$2</f>
        <v>0.41333333333333333</v>
      </c>
      <c r="E23">
        <f t="shared" si="5"/>
        <v>8.2981669848612938E-2</v>
      </c>
      <c r="F23" s="2">
        <v>1.30881E-18</v>
      </c>
      <c r="G23" s="2">
        <v>2.5537800000000001E-19</v>
      </c>
      <c r="J23">
        <v>0.41225200000000001</v>
      </c>
    </row>
    <row r="25" spans="1:15" x14ac:dyDescent="0.2">
      <c r="A25" t="s">
        <v>15</v>
      </c>
      <c r="E25" t="s">
        <v>16</v>
      </c>
    </row>
    <row r="27" spans="1:15" x14ac:dyDescent="0.2">
      <c r="A27" t="s">
        <v>10</v>
      </c>
      <c r="C27" s="10" t="s">
        <v>7</v>
      </c>
      <c r="D27" s="10"/>
      <c r="F27" t="s">
        <v>10</v>
      </c>
      <c r="G27" t="s">
        <v>19</v>
      </c>
      <c r="H27" s="10" t="s">
        <v>7</v>
      </c>
      <c r="I27" s="10"/>
    </row>
    <row r="28" spans="1:15" x14ac:dyDescent="0.2">
      <c r="A28" t="s">
        <v>1</v>
      </c>
      <c r="B28" t="s">
        <v>19</v>
      </c>
      <c r="C28" t="s">
        <v>8</v>
      </c>
      <c r="D28" t="s">
        <v>9</v>
      </c>
      <c r="F28" t="s">
        <v>1</v>
      </c>
      <c r="H28" t="s">
        <v>8</v>
      </c>
      <c r="I28" t="s">
        <v>9</v>
      </c>
      <c r="K28" t="s">
        <v>17</v>
      </c>
    </row>
    <row r="29" spans="1:15" x14ac:dyDescent="0.2">
      <c r="A29" t="s">
        <v>2</v>
      </c>
      <c r="B29">
        <v>0.95</v>
      </c>
      <c r="C29">
        <v>0.28343699999999999</v>
      </c>
      <c r="D29">
        <v>7.7412999999999996E-2</v>
      </c>
      <c r="F29" t="s">
        <v>2</v>
      </c>
      <c r="G29">
        <v>1.2</v>
      </c>
      <c r="H29">
        <v>0.35698800000000003</v>
      </c>
      <c r="I29">
        <v>8.1298999999999996E-2</v>
      </c>
      <c r="K29">
        <f>B29-G29</f>
        <v>-0.25</v>
      </c>
      <c r="L29">
        <f>C29-H29</f>
        <v>-7.3551000000000033E-2</v>
      </c>
      <c r="M29">
        <f>D29-I29</f>
        <v>-3.8860000000000006E-3</v>
      </c>
      <c r="N29">
        <v>-3.8899999999999998E-3</v>
      </c>
      <c r="O29">
        <v>-7.3599999999999999E-2</v>
      </c>
    </row>
    <row r="30" spans="1:15" x14ac:dyDescent="0.2">
      <c r="A30" t="s">
        <v>3</v>
      </c>
      <c r="B30">
        <v>0.88</v>
      </c>
      <c r="C30">
        <v>0.26094600000000001</v>
      </c>
      <c r="D30">
        <v>6.6155000000000005E-2</v>
      </c>
      <c r="F30" t="s">
        <v>3</v>
      </c>
      <c r="G30">
        <v>1.2</v>
      </c>
      <c r="H30">
        <v>0.37915900000000002</v>
      </c>
      <c r="I30">
        <v>5.3578000000000001E-2</v>
      </c>
      <c r="K30">
        <f t="shared" ref="K30:K33" si="6">B30-G30</f>
        <v>-0.31999999999999995</v>
      </c>
      <c r="L30">
        <f t="shared" ref="L30:M33" si="7">C30-H30</f>
        <v>-0.11821300000000001</v>
      </c>
      <c r="M30">
        <f t="shared" si="7"/>
        <v>1.2577000000000005E-2</v>
      </c>
      <c r="N30">
        <v>1.26E-2</v>
      </c>
      <c r="O30">
        <v>-0.11799999999999999</v>
      </c>
    </row>
    <row r="31" spans="1:15" x14ac:dyDescent="0.2">
      <c r="A31" t="s">
        <v>4</v>
      </c>
      <c r="B31">
        <v>1.1000000000000001</v>
      </c>
      <c r="C31">
        <v>0.50278</v>
      </c>
      <c r="D31">
        <v>5.4510999999999997E-2</v>
      </c>
      <c r="F31" t="s">
        <v>4</v>
      </c>
      <c r="G31">
        <v>1.5</v>
      </c>
      <c r="H31">
        <v>0.48621500000000001</v>
      </c>
      <c r="I31">
        <v>4.3836E-2</v>
      </c>
      <c r="K31">
        <f t="shared" si="6"/>
        <v>-0.39999999999999991</v>
      </c>
      <c r="L31">
        <f>C31-H31</f>
        <v>1.6564999999999996E-2</v>
      </c>
      <c r="M31">
        <f t="shared" si="7"/>
        <v>1.0674999999999997E-2</v>
      </c>
      <c r="N31">
        <v>1.0699999999999999E-2</v>
      </c>
      <c r="O31">
        <v>1.66E-2</v>
      </c>
    </row>
    <row r="32" spans="1:15" x14ac:dyDescent="0.2">
      <c r="A32" t="s">
        <v>5</v>
      </c>
      <c r="B32">
        <v>0.9</v>
      </c>
      <c r="C32">
        <v>0.41225200000000001</v>
      </c>
      <c r="D32">
        <v>4.0009000000000003E-2</v>
      </c>
      <c r="F32" t="s">
        <v>5</v>
      </c>
      <c r="G32">
        <v>1.2</v>
      </c>
      <c r="H32">
        <v>0.40726899999999999</v>
      </c>
      <c r="I32">
        <v>3.2063000000000001E-2</v>
      </c>
      <c r="K32">
        <f>B32-G32</f>
        <v>-0.29999999999999993</v>
      </c>
      <c r="L32">
        <f>C32-H32</f>
        <v>4.9830000000000152E-3</v>
      </c>
      <c r="M32">
        <f t="shared" si="7"/>
        <v>7.9460000000000017E-3</v>
      </c>
      <c r="N32">
        <v>7.9500000000000005E-3</v>
      </c>
      <c r="O32">
        <v>4.9800000000000001E-3</v>
      </c>
    </row>
    <row r="33" spans="1:15" x14ac:dyDescent="0.2">
      <c r="A33" t="s">
        <v>18</v>
      </c>
      <c r="B33">
        <v>0.9</v>
      </c>
      <c r="C33">
        <v>0.35107300000000002</v>
      </c>
      <c r="D33">
        <v>4.7853E-2</v>
      </c>
      <c r="F33" t="s">
        <v>18</v>
      </c>
      <c r="G33">
        <v>0.9</v>
      </c>
      <c r="H33">
        <v>0.35103000000000001</v>
      </c>
      <c r="I33">
        <v>4.7854000000000001E-2</v>
      </c>
      <c r="K33" s="2">
        <f>B33-G33</f>
        <v>0</v>
      </c>
      <c r="L33" s="4">
        <f>C33-H33</f>
        <v>4.3000000000015248E-5</v>
      </c>
      <c r="M33" s="2">
        <f t="shared" si="7"/>
        <v>-1.0000000000010001E-6</v>
      </c>
      <c r="N33" s="4">
        <v>-1.0000000000010001E-6</v>
      </c>
      <c r="O33">
        <v>4.3000000000000002E-5</v>
      </c>
    </row>
    <row r="34" spans="1:15" x14ac:dyDescent="0.2">
      <c r="G34" s="4">
        <f>AVERAGE(G29:G31,G33)</f>
        <v>1.2</v>
      </c>
      <c r="I34">
        <f>AVERAGE(L29:L32)</f>
        <v>-4.2554000000000008E-2</v>
      </c>
      <c r="J34" s="3">
        <v>-4.2554000000000008E-2</v>
      </c>
      <c r="K34" s="4">
        <f>AVERAGE(K29:K31,K33)</f>
        <v>-0.24249999999999997</v>
      </c>
      <c r="L34" s="2">
        <f>AVERAGE(L29:L31,L33)</f>
        <v>-4.3789000000000008E-2</v>
      </c>
      <c r="M34" s="2">
        <f>AVERAGE(M29:M31,M33)</f>
        <v>4.8412500000000001E-3</v>
      </c>
      <c r="N34" s="4">
        <f>AVERAGE(N29:N31,N33)</f>
        <v>4.8522499999999998E-3</v>
      </c>
      <c r="O34" s="4">
        <f>AVERAGE(O29:O31,O33)</f>
        <v>-4.373925E-2</v>
      </c>
    </row>
    <row r="35" spans="1:15" x14ac:dyDescent="0.2">
      <c r="A35" t="s">
        <v>11</v>
      </c>
      <c r="B35" s="10" t="s">
        <v>7</v>
      </c>
      <c r="C35" s="10"/>
    </row>
    <row r="36" spans="1:15" x14ac:dyDescent="0.2">
      <c r="A36" t="s">
        <v>1</v>
      </c>
      <c r="B36" t="s">
        <v>8</v>
      </c>
      <c r="C36" t="s">
        <v>9</v>
      </c>
      <c r="E36" t="s">
        <v>20</v>
      </c>
    </row>
    <row r="37" spans="1:15" x14ac:dyDescent="0.2">
      <c r="A37" t="s">
        <v>2</v>
      </c>
      <c r="B37">
        <v>0.42</v>
      </c>
      <c r="C37">
        <v>0.1</v>
      </c>
      <c r="F37" t="s">
        <v>10</v>
      </c>
      <c r="G37" t="s">
        <v>19</v>
      </c>
      <c r="H37" s="10" t="s">
        <v>7</v>
      </c>
      <c r="I37" s="10"/>
      <c r="K37" t="s">
        <v>17</v>
      </c>
    </row>
    <row r="38" spans="1:15" x14ac:dyDescent="0.2">
      <c r="A38" t="s">
        <v>3</v>
      </c>
      <c r="B38">
        <v>0.25</v>
      </c>
      <c r="C38">
        <v>0.09</v>
      </c>
      <c r="F38" t="s">
        <v>1</v>
      </c>
      <c r="H38" t="s">
        <v>8</v>
      </c>
      <c r="I38" t="s">
        <v>9</v>
      </c>
    </row>
    <row r="39" spans="1:15" x14ac:dyDescent="0.2">
      <c r="A39" t="s">
        <v>4</v>
      </c>
      <c r="B39">
        <v>0.51</v>
      </c>
      <c r="C39">
        <v>7.0000000000000007E-2</v>
      </c>
      <c r="F39" t="s">
        <v>2</v>
      </c>
      <c r="G39">
        <v>0.95</v>
      </c>
      <c r="H39">
        <v>0.29339500000000002</v>
      </c>
      <c r="I39" s="5">
        <v>7.7413999999999997E-2</v>
      </c>
      <c r="K39" s="6">
        <f>B29-G39</f>
        <v>0</v>
      </c>
      <c r="L39" s="7">
        <f>C29-H39</f>
        <v>-9.9580000000000224E-3</v>
      </c>
      <c r="M39" s="2">
        <f>D29-I39</f>
        <v>-1.0000000000010001E-6</v>
      </c>
    </row>
    <row r="40" spans="1:15" x14ac:dyDescent="0.2">
      <c r="A40" t="s">
        <v>5</v>
      </c>
      <c r="B40">
        <v>0.36</v>
      </c>
      <c r="C40">
        <v>0.06</v>
      </c>
      <c r="F40" t="s">
        <v>3</v>
      </c>
      <c r="G40">
        <v>0.88</v>
      </c>
      <c r="H40">
        <v>0.269563</v>
      </c>
      <c r="I40" s="5">
        <v>6.6155000000000005E-2</v>
      </c>
      <c r="K40" s="6">
        <f>B30-G40</f>
        <v>0</v>
      </c>
      <c r="L40" s="7">
        <f t="shared" ref="L40:M41" si="8">C30-H40</f>
        <v>-8.6169999999999858E-3</v>
      </c>
      <c r="M40" s="8">
        <f>D30-I40</f>
        <v>0</v>
      </c>
    </row>
    <row r="41" spans="1:15" x14ac:dyDescent="0.2">
      <c r="F41" t="s">
        <v>4</v>
      </c>
      <c r="G41">
        <v>1.0900000000000001</v>
      </c>
      <c r="H41">
        <v>0.50953599999999999</v>
      </c>
      <c r="I41" s="5">
        <v>5.4511999999999998E-2</v>
      </c>
      <c r="K41" s="6">
        <f>B31-G41</f>
        <v>1.0000000000000009E-2</v>
      </c>
      <c r="L41" s="7">
        <f t="shared" si="8"/>
        <v>-6.7559999999999842E-3</v>
      </c>
      <c r="M41" s="2">
        <f t="shared" si="8"/>
        <v>-1.0000000000010001E-6</v>
      </c>
    </row>
    <row r="42" spans="1:15" x14ac:dyDescent="0.2">
      <c r="A42" t="s">
        <v>12</v>
      </c>
      <c r="B42" s="10" t="s">
        <v>6</v>
      </c>
      <c r="C42" s="10"/>
      <c r="F42" t="s">
        <v>18</v>
      </c>
      <c r="G42">
        <v>0.9</v>
      </c>
      <c r="H42">
        <v>0.36588900000000002</v>
      </c>
      <c r="I42" s="5">
        <v>4.7855000000000002E-2</v>
      </c>
      <c r="K42" s="6">
        <f>B33-G42</f>
        <v>0</v>
      </c>
      <c r="L42" s="3">
        <f>C33-H42</f>
        <v>-1.4815999999999996E-2</v>
      </c>
      <c r="M42" s="8">
        <f>D33-I42</f>
        <v>-2.0000000000020002E-6</v>
      </c>
    </row>
    <row r="43" spans="1:15" x14ac:dyDescent="0.2">
      <c r="A43" t="s">
        <v>1</v>
      </c>
      <c r="B43" t="s">
        <v>8</v>
      </c>
      <c r="C43" t="s">
        <v>9</v>
      </c>
      <c r="G43" s="4"/>
      <c r="L43" s="7">
        <f>AVERAGE(L39:L42)</f>
        <v>-1.0036749999999997E-2</v>
      </c>
    </row>
    <row r="44" spans="1:15" x14ac:dyDescent="0.2">
      <c r="A44" t="s">
        <v>2</v>
      </c>
      <c r="B44">
        <v>0.06</v>
      </c>
      <c r="C44">
        <v>0.1</v>
      </c>
      <c r="E44" t="s">
        <v>21</v>
      </c>
      <c r="F44" t="s">
        <v>10</v>
      </c>
      <c r="G44" s="1" t="s">
        <v>7</v>
      </c>
      <c r="H44" s="1"/>
    </row>
    <row r="45" spans="1:15" x14ac:dyDescent="0.2">
      <c r="A45" t="s">
        <v>3</v>
      </c>
      <c r="B45">
        <v>0.25</v>
      </c>
      <c r="C45">
        <v>0.1</v>
      </c>
      <c r="F45" t="s">
        <v>1</v>
      </c>
      <c r="G45" t="s">
        <v>8</v>
      </c>
      <c r="H45" t="s">
        <v>9</v>
      </c>
    </row>
    <row r="46" spans="1:15" x14ac:dyDescent="0.2">
      <c r="A46" t="s">
        <v>4</v>
      </c>
      <c r="B46">
        <v>0.46</v>
      </c>
      <c r="C46">
        <v>0.08</v>
      </c>
      <c r="F46" t="s">
        <v>2</v>
      </c>
      <c r="G46">
        <v>0.28325</v>
      </c>
      <c r="H46" s="5">
        <v>7.7412999999999996E-2</v>
      </c>
      <c r="J46" s="2">
        <f>C29-G46</f>
        <v>1.8699999999999273E-4</v>
      </c>
      <c r="K46" s="9">
        <f>D29-H46</f>
        <v>0</v>
      </c>
    </row>
    <row r="47" spans="1:15" x14ac:dyDescent="0.2">
      <c r="A47" t="s">
        <v>5</v>
      </c>
      <c r="B47">
        <v>0.34</v>
      </c>
      <c r="C47">
        <v>7.0000000000000007E-2</v>
      </c>
      <c r="F47" t="s">
        <v>3</v>
      </c>
      <c r="G47">
        <v>0.26076300000000002</v>
      </c>
      <c r="H47" s="5">
        <v>6.6155000000000005E-2</v>
      </c>
      <c r="J47" s="2">
        <f t="shared" ref="J47:K48" si="9">C30-G47</f>
        <v>1.8299999999998873E-4</v>
      </c>
      <c r="K47" s="9">
        <f t="shared" si="9"/>
        <v>0</v>
      </c>
    </row>
    <row r="48" spans="1:15" x14ac:dyDescent="0.2">
      <c r="F48" t="s">
        <v>4</v>
      </c>
      <c r="G48">
        <v>0.50266299999999997</v>
      </c>
      <c r="H48" s="5">
        <v>5.4511999999999998E-2</v>
      </c>
      <c r="J48" s="2">
        <f t="shared" si="9"/>
        <v>1.1700000000003374E-4</v>
      </c>
      <c r="K48" s="9">
        <f t="shared" si="9"/>
        <v>-1.0000000000010001E-6</v>
      </c>
    </row>
    <row r="49" spans="5:11" x14ac:dyDescent="0.2">
      <c r="F49" t="s">
        <v>18</v>
      </c>
      <c r="G49">
        <v>0.35105500000000001</v>
      </c>
      <c r="H49" s="5">
        <v>4.7853E-2</v>
      </c>
      <c r="J49" s="2">
        <f>C33-G49</f>
        <v>1.8000000000018002E-5</v>
      </c>
      <c r="K49" s="9">
        <f>D33-H49</f>
        <v>0</v>
      </c>
    </row>
    <row r="51" spans="5:11" x14ac:dyDescent="0.2">
      <c r="E51" t="s">
        <v>22</v>
      </c>
      <c r="F51" t="s">
        <v>10</v>
      </c>
      <c r="G51" s="1" t="s">
        <v>7</v>
      </c>
      <c r="H51" s="1"/>
    </row>
    <row r="52" spans="5:11" x14ac:dyDescent="0.2">
      <c r="F52" t="s">
        <v>1</v>
      </c>
      <c r="G52" t="s">
        <v>8</v>
      </c>
      <c r="H52" t="s">
        <v>9</v>
      </c>
    </row>
    <row r="53" spans="5:11" x14ac:dyDescent="0.2">
      <c r="F53" t="s">
        <v>2</v>
      </c>
      <c r="G53">
        <v>0.28356900000000002</v>
      </c>
      <c r="H53" s="5">
        <v>7.7411999999999995E-2</v>
      </c>
      <c r="J53" s="2">
        <f>C29-G53</f>
        <v>-1.3200000000002099E-4</v>
      </c>
      <c r="K53" s="9">
        <f t="shared" ref="K53:K54" si="10">D29-H53</f>
        <v>1.0000000000010001E-6</v>
      </c>
    </row>
    <row r="54" spans="5:11" x14ac:dyDescent="0.2">
      <c r="F54" t="s">
        <v>3</v>
      </c>
      <c r="G54">
        <v>0.26133899999999999</v>
      </c>
      <c r="H54" s="5">
        <v>6.6154000000000004E-2</v>
      </c>
      <c r="J54" s="2">
        <f>C30-G54</f>
        <v>-3.929999999999767E-4</v>
      </c>
      <c r="K54" s="9">
        <f t="shared" si="10"/>
        <v>1.0000000000010001E-6</v>
      </c>
    </row>
    <row r="55" spans="5:11" x14ac:dyDescent="0.2">
      <c r="F55" t="s">
        <v>4</v>
      </c>
      <c r="G55">
        <v>0.50285400000000002</v>
      </c>
      <c r="H55" s="5">
        <v>5.4510999999999997E-2</v>
      </c>
      <c r="J55" s="2">
        <f>C31-G55</f>
        <v>-7.4000000000018495E-5</v>
      </c>
      <c r="K55" s="9">
        <f>D31-H55</f>
        <v>0</v>
      </c>
    </row>
    <row r="56" spans="5:11" x14ac:dyDescent="0.2">
      <c r="F56" t="s">
        <v>18</v>
      </c>
      <c r="G56">
        <v>0.35109099999999999</v>
      </c>
      <c r="H56" s="5">
        <v>4.7853E-2</v>
      </c>
      <c r="J56" s="2">
        <f>C33-G56</f>
        <v>-1.799999999996249E-5</v>
      </c>
      <c r="K56" s="9">
        <f>D33-H56</f>
        <v>0</v>
      </c>
    </row>
  </sheetData>
  <mergeCells count="14">
    <mergeCell ref="B42:C42"/>
    <mergeCell ref="J4:K4"/>
    <mergeCell ref="L4:M4"/>
    <mergeCell ref="H27:I27"/>
    <mergeCell ref="B18:C18"/>
    <mergeCell ref="D18:E18"/>
    <mergeCell ref="C27:D27"/>
    <mergeCell ref="B35:C35"/>
    <mergeCell ref="B4:C4"/>
    <mergeCell ref="F3:G3"/>
    <mergeCell ref="D4:E4"/>
    <mergeCell ref="B11:C11"/>
    <mergeCell ref="D11:E11"/>
    <mergeCell ref="H37:I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2022-06-08T10:29:20Z</dcterms:created>
  <dcterms:modified xsi:type="dcterms:W3CDTF">2022-06-22T18:28:35Z</dcterms:modified>
</cp:coreProperties>
</file>