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674F31E4-861F-0449-957C-2C1A59C3F159}" xr6:coauthVersionLast="47" xr6:coauthVersionMax="47" xr10:uidLastSave="{00000000-0000-0000-0000-000000000000}"/>
  <bookViews>
    <workbookView xWindow="780" yWindow="1000" windowWidth="27640" windowHeight="16440" xr2:uid="{793A8B24-C83D-BA45-936E-5675965EC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13" i="1"/>
  <c r="C4" i="1"/>
  <c r="C11" i="1" s="1"/>
  <c r="C12" i="1" s="1"/>
  <c r="C9" i="1"/>
  <c r="C5" i="1"/>
  <c r="C7" i="1"/>
</calcChain>
</file>

<file path=xl/sharedStrings.xml><?xml version="1.0" encoding="utf-8"?>
<sst xmlns="http://schemas.openxmlformats.org/spreadsheetml/2006/main" count="13" uniqueCount="13">
  <si>
    <t>Variable</t>
  </si>
  <si>
    <t>SI</t>
  </si>
  <si>
    <t>e</t>
  </si>
  <si>
    <t>d_mu</t>
  </si>
  <si>
    <t>m_mu</t>
  </si>
  <si>
    <t>hbar</t>
  </si>
  <si>
    <t>c</t>
  </si>
  <si>
    <t>a_mu</t>
  </si>
  <si>
    <t>beta</t>
  </si>
  <si>
    <t>omega_a</t>
  </si>
  <si>
    <t>fractional shift</t>
  </si>
  <si>
    <t>omega_eta</t>
  </si>
  <si>
    <t>omega_tot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</si>
</sst>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NumberFormat="1"/>
    <xf numFmtId="1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B1A7-5D75-D74E-A207-2A05936D068B}">
  <dimension ref="A1:F16"/>
  <sheetViews>
    <sheetView tabSelected="1" workbookViewId="0">
      <selection activeCell="C16" sqref="C16"/>
    </sheetView>
  </sheetViews>
  <sheetFormatPr baseColWidth="10" defaultRowHeight="16" x14ac:dyDescent="0.2"/>
  <cols>
    <col min="1" max="1" width="13.1640625" bestFit="1" customWidth="1"/>
    <col min="2" max="2" width="12.1640625" bestFit="1" customWidth="1"/>
    <col min="3" max="4" width="14.83203125" bestFit="1" customWidth="1"/>
  </cols>
  <sheetData>
    <row r="1" spans="1:6" x14ac:dyDescent="0.2">
      <c r="A1" t="s">
        <v>0</v>
      </c>
      <c r="C1" t="s">
        <v>1</v>
      </c>
    </row>
    <row r="2" spans="1:6" x14ac:dyDescent="0.2">
      <c r="A2" t="s">
        <v>6</v>
      </c>
      <c r="C2">
        <v>299792458</v>
      </c>
    </row>
    <row r="3" spans="1:6" x14ac:dyDescent="0.2">
      <c r="A3" t="s">
        <v>2</v>
      </c>
      <c r="C3" s="1">
        <v>1.6021766299999999E-19</v>
      </c>
      <c r="D3" s="1"/>
      <c r="F3" s="2"/>
    </row>
    <row r="4" spans="1:6" x14ac:dyDescent="0.2">
      <c r="A4" t="s">
        <v>3</v>
      </c>
      <c r="B4" s="1">
        <v>5.3999999999999998E-18</v>
      </c>
      <c r="C4" s="1">
        <f>B4*C3*0.01</f>
        <v>8.6517538019999985E-39</v>
      </c>
    </row>
    <row r="5" spans="1:6" x14ac:dyDescent="0.2">
      <c r="A5" t="s">
        <v>4</v>
      </c>
      <c r="B5">
        <v>105.6583715</v>
      </c>
      <c r="C5" s="1">
        <f>C3*1000000*B5/C2^2</f>
        <v>1.8835315510402113E-28</v>
      </c>
    </row>
    <row r="6" spans="1:6" x14ac:dyDescent="0.2">
      <c r="A6" t="s">
        <v>8</v>
      </c>
      <c r="C6" s="1">
        <v>1</v>
      </c>
    </row>
    <row r="7" spans="1:6" x14ac:dyDescent="0.2">
      <c r="A7" t="s">
        <v>5</v>
      </c>
      <c r="C7">
        <f>6.62607015E-34/(2*PI())</f>
        <v>1.0545718176461565E-34</v>
      </c>
    </row>
    <row r="8" spans="1:6" x14ac:dyDescent="0.2">
      <c r="A8" t="s">
        <v>7</v>
      </c>
      <c r="C8" s="3">
        <v>1.1659206099999999E-3</v>
      </c>
    </row>
    <row r="9" spans="1:6" x14ac:dyDescent="0.2">
      <c r="A9" t="s">
        <v>9</v>
      </c>
      <c r="B9">
        <v>1.439311</v>
      </c>
      <c r="C9">
        <f>B9*1000000</f>
        <v>1439311</v>
      </c>
    </row>
    <row r="11" spans="1:6" x14ac:dyDescent="0.2">
      <c r="A11" t="s">
        <v>10</v>
      </c>
      <c r="C11" s="2">
        <f>((SQRT(2)*C4*C5*C2*C6)/(C7*C3*C8))^2</f>
        <v>1.2300264180429398E-3</v>
      </c>
      <c r="D11" s="1"/>
    </row>
    <row r="12" spans="1:6" x14ac:dyDescent="0.2">
      <c r="C12">
        <f>C11*B9</f>
        <v>1.7703905537798017E-3</v>
      </c>
    </row>
    <row r="13" spans="1:6" x14ac:dyDescent="0.2">
      <c r="A13" t="s">
        <v>12</v>
      </c>
      <c r="C13">
        <f>C12+B9</f>
        <v>1.4410813905537798</v>
      </c>
    </row>
    <row r="15" spans="1:6" x14ac:dyDescent="0.2">
      <c r="A15" t="s">
        <v>11</v>
      </c>
      <c r="C15">
        <f>SQRT(C13^2-B9^2)</f>
        <v>7.1410219712696676E-2</v>
      </c>
    </row>
    <row r="16" spans="1:6" x14ac:dyDescent="0.2">
      <c r="C16">
        <f>2*PI()/C15</f>
        <v>87.987200325928157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2022-08-23T11:59:47Z</dcterms:created>
  <dcterms:modified xsi:type="dcterms:W3CDTF">2022-10-17T00:55:14Z</dcterms:modified>
</cp:coreProperties>
</file>