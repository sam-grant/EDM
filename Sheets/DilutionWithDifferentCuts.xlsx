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9ECAA892-2ED7-EA48-8BDD-224811CC016B}" xr6:coauthVersionLast="47" xr6:coauthVersionMax="47" xr10:uidLastSave="{00000000-0000-0000-0000-000000000000}"/>
  <bookViews>
    <workbookView xWindow="1580" yWindow="2000" windowWidth="26100" windowHeight="15440" xr2:uid="{CC6EBD47-FC7A-FB4D-8F60-E5F70F0D62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7" i="1"/>
  <c r="F8" i="1"/>
  <c r="F9" i="1"/>
  <c r="F10" i="1"/>
  <c r="F11" i="1"/>
  <c r="F12" i="1"/>
  <c r="F13" i="1"/>
  <c r="F14" i="1"/>
  <c r="F7" i="1"/>
  <c r="E8" i="1"/>
  <c r="E9" i="1"/>
  <c r="E10" i="1"/>
  <c r="E11" i="1"/>
  <c r="E12" i="1"/>
  <c r="E13" i="1"/>
  <c r="E14" i="1"/>
  <c r="E7" i="1"/>
</calcChain>
</file>

<file path=xl/sharedStrings.xml><?xml version="1.0" encoding="utf-8"?>
<sst xmlns="http://schemas.openxmlformats.org/spreadsheetml/2006/main" count="28" uniqueCount="18">
  <si>
    <t xml:space="preserve">p-value, hit volume </t>
  </si>
  <si>
    <t>Quality cut</t>
  </si>
  <si>
    <t>750-2750</t>
  </si>
  <si>
    <t>Momentum range [MeV]</t>
  </si>
  <si>
    <t>AEDM [mrad]</t>
  </si>
  <si>
    <t>dAEDM [mrad]</t>
  </si>
  <si>
    <t>delta' [mrad]</t>
  </si>
  <si>
    <t xml:space="preserve">alpha </t>
  </si>
  <si>
    <t>dalpha</t>
  </si>
  <si>
    <t>Full beam vertex cuts</t>
  </si>
  <si>
    <t>Stn</t>
  </si>
  <si>
    <t>S0S12S18</t>
  </si>
  <si>
    <t>S12S18</t>
  </si>
  <si>
    <t>S12</t>
  </si>
  <si>
    <t>S18</t>
  </si>
  <si>
    <t>alpha (BNL)</t>
  </si>
  <si>
    <t>dalpha (BNL)</t>
  </si>
  <si>
    <t>More diluted than BNL?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</si>
</sst>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50DD-3906-0B44-8E9B-B3D7B48B2B9B}">
  <dimension ref="A1:G14"/>
  <sheetViews>
    <sheetView tabSelected="1" workbookViewId="0">
      <selection activeCell="D18" sqref="D18"/>
    </sheetView>
  </sheetViews>
  <sheetFormatPr baseColWidth="10" defaultRowHeight="16" x14ac:dyDescent="0.2"/>
  <cols>
    <col min="1" max="2" width="18.83203125" bestFit="1" customWidth="1"/>
    <col min="3" max="4" width="22" bestFit="1" customWidth="1"/>
    <col min="5" max="5" width="14.6640625" bestFit="1" customWidth="1"/>
    <col min="6" max="6" width="12.1640625" bestFit="1" customWidth="1"/>
    <col min="7" max="7" width="20.83203125" bestFit="1" customWidth="1"/>
  </cols>
  <sheetData>
    <row r="1" spans="1:7" x14ac:dyDescent="0.2">
      <c r="A1" s="2" t="s">
        <v>15</v>
      </c>
      <c r="B1" s="2" t="s">
        <v>16</v>
      </c>
    </row>
    <row r="2" spans="1:7" x14ac:dyDescent="0.2">
      <c r="A2">
        <v>8.6999999999999994E-2</v>
      </c>
      <c r="B2">
        <v>3.0000000000000001E-3</v>
      </c>
    </row>
    <row r="4" spans="1:7" x14ac:dyDescent="0.2">
      <c r="A4" s="2" t="s">
        <v>6</v>
      </c>
      <c r="B4">
        <v>1.7</v>
      </c>
      <c r="C4" s="2" t="s">
        <v>3</v>
      </c>
      <c r="D4" t="s">
        <v>2</v>
      </c>
    </row>
    <row r="6" spans="1:7" x14ac:dyDescent="0.2">
      <c r="A6" s="2" t="s">
        <v>10</v>
      </c>
      <c r="B6" s="2" t="s">
        <v>1</v>
      </c>
      <c r="C6" s="2" t="s">
        <v>4</v>
      </c>
      <c r="D6" s="2" t="s">
        <v>5</v>
      </c>
      <c r="E6" s="2" t="s">
        <v>7</v>
      </c>
      <c r="F6" s="2" t="s">
        <v>8</v>
      </c>
      <c r="G6" s="2" t="s">
        <v>17</v>
      </c>
    </row>
    <row r="7" spans="1:7" x14ac:dyDescent="0.2">
      <c r="A7" t="s">
        <v>11</v>
      </c>
      <c r="B7" t="s">
        <v>0</v>
      </c>
      <c r="C7">
        <v>0.157</v>
      </c>
      <c r="D7">
        <v>4.0000000000000001E-3</v>
      </c>
      <c r="E7" s="1">
        <f>C7/$B$4</f>
        <v>9.2352941176470596E-2</v>
      </c>
      <c r="F7" s="1">
        <f>D7/$B$4</f>
        <v>2.3529411764705885E-3</v>
      </c>
      <c r="G7" t="b">
        <f>IF(E7&lt;$A$2, TRUE)</f>
        <v>0</v>
      </c>
    </row>
    <row r="8" spans="1:7" x14ac:dyDescent="0.2">
      <c r="A8" t="s">
        <v>12</v>
      </c>
      <c r="B8" t="s">
        <v>0</v>
      </c>
      <c r="C8">
        <v>0.152</v>
      </c>
      <c r="D8">
        <v>4.0000000000000001E-3</v>
      </c>
      <c r="E8" s="1">
        <f>C8/$B$4</f>
        <v>8.9411764705882357E-2</v>
      </c>
      <c r="F8" s="1">
        <f>D8/$B$4</f>
        <v>2.3529411764705885E-3</v>
      </c>
      <c r="G8" t="b">
        <f t="shared" ref="G8:G14" si="0">IF(E8&lt;$A$2, TRUE)</f>
        <v>0</v>
      </c>
    </row>
    <row r="9" spans="1:7" x14ac:dyDescent="0.2">
      <c r="A9" t="s">
        <v>13</v>
      </c>
      <c r="B9" t="s">
        <v>0</v>
      </c>
      <c r="C9">
        <v>0.14799999999999999</v>
      </c>
      <c r="D9">
        <v>6.0000000000000001E-3</v>
      </c>
      <c r="E9" s="1">
        <f>C9/$B$4</f>
        <v>8.7058823529411758E-2</v>
      </c>
      <c r="F9" s="1">
        <f>D9/$B$4</f>
        <v>3.5294117647058825E-3</v>
      </c>
      <c r="G9" t="b">
        <f t="shared" si="0"/>
        <v>0</v>
      </c>
    </row>
    <row r="10" spans="1:7" x14ac:dyDescent="0.2">
      <c r="A10" t="s">
        <v>14</v>
      </c>
      <c r="B10" t="s">
        <v>0</v>
      </c>
      <c r="C10">
        <v>0.156</v>
      </c>
      <c r="D10">
        <v>6.0000000000000001E-3</v>
      </c>
      <c r="E10" s="1">
        <f>C10/$B$4</f>
        <v>9.1764705882352943E-2</v>
      </c>
      <c r="F10" s="1">
        <f>D10/$B$4</f>
        <v>3.5294117647058825E-3</v>
      </c>
      <c r="G10" t="b">
        <f t="shared" si="0"/>
        <v>0</v>
      </c>
    </row>
    <row r="11" spans="1:7" x14ac:dyDescent="0.2">
      <c r="A11" t="s">
        <v>11</v>
      </c>
      <c r="B11" t="s">
        <v>9</v>
      </c>
      <c r="C11" s="1">
        <v>0.13</v>
      </c>
      <c r="D11" s="1">
        <v>7.0000000000000001E-3</v>
      </c>
      <c r="E11" s="1">
        <f>C11/$B$4</f>
        <v>7.6470588235294124E-2</v>
      </c>
      <c r="F11" s="1">
        <f>D11/$B$4</f>
        <v>4.1176470588235297E-3</v>
      </c>
      <c r="G11" t="b">
        <f t="shared" si="0"/>
        <v>1</v>
      </c>
    </row>
    <row r="12" spans="1:7" x14ac:dyDescent="0.2">
      <c r="A12" t="s">
        <v>12</v>
      </c>
      <c r="B12" t="s">
        <v>9</v>
      </c>
      <c r="C12">
        <v>0.121</v>
      </c>
      <c r="D12">
        <v>8.9999999999999993E-3</v>
      </c>
      <c r="E12" s="1">
        <f>C12/$B$4</f>
        <v>7.1176470588235299E-2</v>
      </c>
      <c r="F12" s="1">
        <f>D12/$B$4</f>
        <v>5.2941176470588233E-3</v>
      </c>
      <c r="G12" t="b">
        <f t="shared" si="0"/>
        <v>1</v>
      </c>
    </row>
    <row r="13" spans="1:7" x14ac:dyDescent="0.2">
      <c r="A13" t="s">
        <v>13</v>
      </c>
      <c r="B13" t="s">
        <v>9</v>
      </c>
      <c r="C13">
        <v>0.13</v>
      </c>
      <c r="D13">
        <v>0.01</v>
      </c>
      <c r="E13" s="1">
        <f>C13/$B$4</f>
        <v>7.6470588235294124E-2</v>
      </c>
      <c r="F13" s="1">
        <f>D13/$B$4</f>
        <v>5.8823529411764705E-3</v>
      </c>
      <c r="G13" t="b">
        <f t="shared" si="0"/>
        <v>1</v>
      </c>
    </row>
    <row r="14" spans="1:7" x14ac:dyDescent="0.2">
      <c r="A14" t="s">
        <v>14</v>
      </c>
      <c r="B14" t="s">
        <v>9</v>
      </c>
      <c r="C14">
        <v>0.11</v>
      </c>
      <c r="D14">
        <v>0.01</v>
      </c>
      <c r="E14" s="1">
        <f>C14/$B$4</f>
        <v>6.4705882352941183E-2</v>
      </c>
      <c r="F14" s="1">
        <f>D14/$B$4</f>
        <v>5.8823529411764705E-3</v>
      </c>
      <c r="G14" t="b">
        <f t="shared" si="0"/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2022-01-19T11:08:22Z</cp:lastPrinted>
  <dcterms:created xsi:type="dcterms:W3CDTF">2022-01-19T10:54:18Z</dcterms:created>
  <dcterms:modified xsi:type="dcterms:W3CDTF">2022-01-19T11:36:30Z</dcterms:modified>
</cp:coreProperties>
</file>